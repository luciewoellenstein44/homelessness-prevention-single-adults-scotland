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uciewoellenstein/Documents/PhD/results/or plots/data/"/>
    </mc:Choice>
  </mc:AlternateContent>
  <xr:revisionPtr revIDLastSave="0" documentId="13_ncr:1_{C32477E7-D01E-6F4A-97BF-52ACC8E845AE}" xr6:coauthVersionLast="47" xr6:coauthVersionMax="47" xr10:uidLastSave="{00000000-0000-0000-0000-000000000000}"/>
  <bookViews>
    <workbookView xWindow="5780" yWindow="500" windowWidth="22780" windowHeight="17500" activeTab="2" xr2:uid="{00000000-000D-0000-FFFF-FFFF00000000}"/>
  </bookViews>
  <sheets>
    <sheet name="Coefs+OR for both models" sheetId="1" r:id="rId1"/>
    <sheet name="coefs in LR model only" sheetId="2" r:id="rId2"/>
    <sheet name="ORs" sheetId="3" r:id="rId3"/>
    <sheet name="OR graph" sheetId="5" r:id="rId4"/>
    <sheet name="OR final table" sheetId="6" r:id="rId5"/>
  </sheets>
  <definedNames>
    <definedName name="_xlnm._FilterDatabase" localSheetId="1" hidden="1">'coefs in LR model only'!$A$1:$J$54</definedName>
    <definedName name="_xlnm._FilterDatabase" localSheetId="0" hidden="1">'Coefs+OR for both models'!$A$1:$H$69</definedName>
    <definedName name="_xlnm._FilterDatabase" localSheetId="3" hidden="1">'OR graph'!$A$1:$E$47</definedName>
    <definedName name="_xlnm._FilterDatabase" localSheetId="2" hidden="1">ORs!$A$1:$I$69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2" i="1" l="1"/>
  <c r="B72" i="1"/>
  <c r="C71" i="1"/>
  <c r="B71" i="1"/>
  <c r="D16" i="6"/>
  <c r="H3" i="1" l="1"/>
  <c r="G40" i="3" s="1"/>
  <c r="H4" i="1"/>
  <c r="G38" i="3" s="1"/>
  <c r="H5" i="1"/>
  <c r="G47" i="3" s="1"/>
  <c r="H6" i="1"/>
  <c r="G42" i="3" s="1"/>
  <c r="H7" i="1"/>
  <c r="G9" i="3" s="1"/>
  <c r="H8" i="1"/>
  <c r="G33" i="3" s="1"/>
  <c r="H9" i="1"/>
  <c r="G48" i="3" s="1"/>
  <c r="H10" i="1"/>
  <c r="G15" i="3" s="1"/>
  <c r="H11" i="1"/>
  <c r="G51" i="3" s="1"/>
  <c r="H12" i="1"/>
  <c r="G2" i="3" s="1"/>
  <c r="H13" i="1"/>
  <c r="G11" i="3" s="1"/>
  <c r="H14" i="1"/>
  <c r="G8" i="3" s="1"/>
  <c r="H15" i="1"/>
  <c r="G12" i="3" s="1"/>
  <c r="H16" i="1"/>
  <c r="G63" i="3" s="1"/>
  <c r="H17" i="1"/>
  <c r="G59" i="3" s="1"/>
  <c r="H18" i="1"/>
  <c r="G58" i="3" s="1"/>
  <c r="H19" i="1"/>
  <c r="G19" i="3" s="1"/>
  <c r="H20" i="1"/>
  <c r="G41" i="3" s="1"/>
  <c r="H21" i="1"/>
  <c r="G5" i="3" s="1"/>
  <c r="H22" i="1"/>
  <c r="G7" i="3" s="1"/>
  <c r="H23" i="1"/>
  <c r="G36" i="3" s="1"/>
  <c r="H24" i="1"/>
  <c r="G32" i="3" s="1"/>
  <c r="H25" i="1"/>
  <c r="G37" i="3" s="1"/>
  <c r="H26" i="1"/>
  <c r="G49" i="3" s="1"/>
  <c r="H27" i="1"/>
  <c r="G22" i="3" s="1"/>
  <c r="H28" i="1"/>
  <c r="G35" i="3" s="1"/>
  <c r="H29" i="1"/>
  <c r="G66" i="3" s="1"/>
  <c r="H30" i="1"/>
  <c r="G27" i="3" s="1"/>
  <c r="H31" i="1"/>
  <c r="G6" i="3" s="1"/>
  <c r="H32" i="1"/>
  <c r="G56" i="3" s="1"/>
  <c r="H33" i="1"/>
  <c r="G3" i="3" s="1"/>
  <c r="H34" i="1"/>
  <c r="G67" i="3" s="1"/>
  <c r="H35" i="1"/>
  <c r="G4" i="3" s="1"/>
  <c r="H36" i="1"/>
  <c r="G39" i="3" s="1"/>
  <c r="H37" i="1"/>
  <c r="G62" i="3" s="1"/>
  <c r="H38" i="1"/>
  <c r="G61" i="3" s="1"/>
  <c r="H39" i="1"/>
  <c r="G10" i="3" s="1"/>
  <c r="H40" i="1"/>
  <c r="G13" i="3" s="1"/>
  <c r="H41" i="1"/>
  <c r="G43" i="3" s="1"/>
  <c r="H42" i="1"/>
  <c r="G18" i="3" s="1"/>
  <c r="H43" i="1"/>
  <c r="G29" i="3" s="1"/>
  <c r="H44" i="1"/>
  <c r="G68" i="3" s="1"/>
  <c r="H45" i="1"/>
  <c r="G30" i="3" s="1"/>
  <c r="H46" i="1"/>
  <c r="G54" i="3" s="1"/>
  <c r="H47" i="1"/>
  <c r="G31" i="3" s="1"/>
  <c r="H48" i="1"/>
  <c r="G57" i="3" s="1"/>
  <c r="H49" i="1"/>
  <c r="G24" i="3" s="1"/>
  <c r="H50" i="1"/>
  <c r="G16" i="3" s="1"/>
  <c r="H51" i="1"/>
  <c r="G26" i="3" s="1"/>
  <c r="H52" i="1"/>
  <c r="G17" i="3" s="1"/>
  <c r="H53" i="1"/>
  <c r="G50" i="3" s="1"/>
  <c r="H54" i="1"/>
  <c r="G14" i="3" s="1"/>
  <c r="H55" i="1"/>
  <c r="G28" i="3" s="1"/>
  <c r="H56" i="1"/>
  <c r="G52" i="3" s="1"/>
  <c r="H57" i="1"/>
  <c r="G45" i="3" s="1"/>
  <c r="H58" i="1"/>
  <c r="G44" i="3" s="1"/>
  <c r="H59" i="1"/>
  <c r="G64" i="3" s="1"/>
  <c r="H60" i="1"/>
  <c r="G46" i="3" s="1"/>
  <c r="H61" i="1"/>
  <c r="G53" i="3" s="1"/>
  <c r="H62" i="1"/>
  <c r="G23" i="3" s="1"/>
  <c r="H63" i="1"/>
  <c r="G60" i="3" s="1"/>
  <c r="H64" i="1"/>
  <c r="G55" i="3" s="1"/>
  <c r="H65" i="1"/>
  <c r="G65" i="3" s="1"/>
  <c r="H66" i="1"/>
  <c r="G69" i="3" s="1"/>
  <c r="H67" i="1"/>
  <c r="G20" i="3" s="1"/>
  <c r="H68" i="1"/>
  <c r="G25" i="3" s="1"/>
  <c r="H69" i="1"/>
  <c r="G21" i="3" s="1"/>
  <c r="H2" i="1"/>
  <c r="G34" i="3" s="1"/>
  <c r="F22" i="3"/>
  <c r="F27" i="3"/>
  <c r="F61" i="3"/>
  <c r="F13" i="3"/>
  <c r="F4" i="3"/>
  <c r="F29" i="3"/>
  <c r="F68" i="3"/>
  <c r="F24" i="3"/>
  <c r="F16" i="3"/>
  <c r="F26" i="3"/>
  <c r="F28" i="3"/>
  <c r="F64" i="3"/>
  <c r="F23" i="3"/>
  <c r="F60" i="3"/>
  <c r="F25" i="3"/>
  <c r="E22" i="3"/>
  <c r="E27" i="3"/>
  <c r="E61" i="3"/>
  <c r="E13" i="3"/>
  <c r="E4" i="3"/>
  <c r="E29" i="3"/>
  <c r="E68" i="3"/>
  <c r="E24" i="3"/>
  <c r="E16" i="3"/>
  <c r="E26" i="3"/>
  <c r="E28" i="3"/>
  <c r="E64" i="3"/>
  <c r="E23" i="3"/>
  <c r="E60" i="3"/>
  <c r="E25" i="3"/>
  <c r="J27" i="2"/>
  <c r="F66" i="3" s="1"/>
  <c r="I10" i="2"/>
  <c r="E2" i="3" s="1"/>
  <c r="I20" i="2"/>
  <c r="E19" i="3" s="1"/>
  <c r="E2" i="1"/>
  <c r="H3" i="2"/>
  <c r="J3" i="2" s="1"/>
  <c r="F40" i="3" s="1"/>
  <c r="H4" i="2"/>
  <c r="J4" i="2" s="1"/>
  <c r="F38" i="3" s="1"/>
  <c r="H5" i="2"/>
  <c r="J5" i="2" s="1"/>
  <c r="F47" i="3" s="1"/>
  <c r="H6" i="2"/>
  <c r="J6" i="2" s="1"/>
  <c r="F42" i="3" s="1"/>
  <c r="H7" i="2"/>
  <c r="J7" i="2" s="1"/>
  <c r="F9" i="3" s="1"/>
  <c r="H8" i="2"/>
  <c r="J8" i="2" s="1"/>
  <c r="F48" i="3" s="1"/>
  <c r="H9" i="2"/>
  <c r="J9" i="2" s="1"/>
  <c r="F33" i="3" s="1"/>
  <c r="H10" i="2"/>
  <c r="J10" i="2" s="1"/>
  <c r="F2" i="3" s="1"/>
  <c r="H11" i="2"/>
  <c r="J11" i="2" s="1"/>
  <c r="F51" i="3" s="1"/>
  <c r="H12" i="2"/>
  <c r="J12" i="2" s="1"/>
  <c r="F15" i="3" s="1"/>
  <c r="H13" i="2"/>
  <c r="J13" i="2" s="1"/>
  <c r="F11" i="3" s="1"/>
  <c r="H14" i="2"/>
  <c r="J14" i="2" s="1"/>
  <c r="F5" i="3" s="1"/>
  <c r="H15" i="2"/>
  <c r="J15" i="2" s="1"/>
  <c r="F58" i="3" s="1"/>
  <c r="H16" i="2"/>
  <c r="J16" i="2" s="1"/>
  <c r="F41" i="3" s="1"/>
  <c r="H17" i="2"/>
  <c r="J17" i="2" s="1"/>
  <c r="F59" i="3" s="1"/>
  <c r="H18" i="2"/>
  <c r="J18" i="2" s="1"/>
  <c r="F8" i="3" s="1"/>
  <c r="H19" i="2"/>
  <c r="J19" i="2" s="1"/>
  <c r="F63" i="3" s="1"/>
  <c r="H20" i="2"/>
  <c r="J20" i="2" s="1"/>
  <c r="F19" i="3" s="1"/>
  <c r="H21" i="2"/>
  <c r="J21" i="2" s="1"/>
  <c r="F32" i="3" s="1"/>
  <c r="H22" i="2"/>
  <c r="J22" i="2" s="1"/>
  <c r="F12" i="3" s="1"/>
  <c r="H23" i="2"/>
  <c r="J23" i="2" s="1"/>
  <c r="F35" i="3" s="1"/>
  <c r="H24" i="2"/>
  <c r="J24" i="2" s="1"/>
  <c r="F49" i="3" s="1"/>
  <c r="H25" i="2"/>
  <c r="J25" i="2" s="1"/>
  <c r="F7" i="3" s="1"/>
  <c r="H26" i="2"/>
  <c r="J26" i="2" s="1"/>
  <c r="F39" i="3" s="1"/>
  <c r="H27" i="2"/>
  <c r="H28" i="2"/>
  <c r="J28" i="2" s="1"/>
  <c r="F67" i="3" s="1"/>
  <c r="H29" i="2"/>
  <c r="J29" i="2" s="1"/>
  <c r="F6" i="3" s="1"/>
  <c r="H30" i="2"/>
  <c r="J30" i="2" s="1"/>
  <c r="F30" i="3" s="1"/>
  <c r="H31" i="2"/>
  <c r="J31" i="2" s="1"/>
  <c r="F10" i="3" s="1"/>
  <c r="H32" i="2"/>
  <c r="J32" i="2" s="1"/>
  <c r="F3" i="3" s="1"/>
  <c r="H33" i="2"/>
  <c r="J33" i="2" s="1"/>
  <c r="F36" i="3" s="1"/>
  <c r="H34" i="2"/>
  <c r="J34" i="2" s="1"/>
  <c r="F56" i="3" s="1"/>
  <c r="H35" i="2"/>
  <c r="J35" i="2" s="1"/>
  <c r="F62" i="3" s="1"/>
  <c r="H36" i="2"/>
  <c r="J36" i="2" s="1"/>
  <c r="F37" i="3" s="1"/>
  <c r="H37" i="2"/>
  <c r="J37" i="2" s="1"/>
  <c r="F18" i="3" s="1"/>
  <c r="H38" i="2"/>
  <c r="J38" i="2" s="1"/>
  <c r="F57" i="3" s="1"/>
  <c r="H39" i="2"/>
  <c r="J39" i="2" s="1"/>
  <c r="F31" i="3" s="1"/>
  <c r="H40" i="2"/>
  <c r="J40" i="2" s="1"/>
  <c r="F14" i="3" s="1"/>
  <c r="H41" i="2"/>
  <c r="J41" i="2" s="1"/>
  <c r="F44" i="3" s="1"/>
  <c r="H42" i="2"/>
  <c r="J42" i="2" s="1"/>
  <c r="F17" i="3" s="1"/>
  <c r="H43" i="2"/>
  <c r="J43" i="2" s="1"/>
  <c r="F54" i="3" s="1"/>
  <c r="H44" i="2"/>
  <c r="J44" i="2" s="1"/>
  <c r="F43" i="3" s="1"/>
  <c r="H45" i="2"/>
  <c r="J45" i="2" s="1"/>
  <c r="F50" i="3" s="1"/>
  <c r="H46" i="2"/>
  <c r="J46" i="2" s="1"/>
  <c r="F55" i="3" s="1"/>
  <c r="H47" i="2"/>
  <c r="J47" i="2" s="1"/>
  <c r="F46" i="3" s="1"/>
  <c r="H48" i="2"/>
  <c r="J48" i="2" s="1"/>
  <c r="F65" i="3" s="1"/>
  <c r="H49" i="2"/>
  <c r="J49" i="2" s="1"/>
  <c r="F69" i="3" s="1"/>
  <c r="H50" i="2"/>
  <c r="J50" i="2" s="1"/>
  <c r="F53" i="3" s="1"/>
  <c r="H51" i="2"/>
  <c r="J51" i="2" s="1"/>
  <c r="F52" i="3" s="1"/>
  <c r="H52" i="2"/>
  <c r="J52" i="2" s="1"/>
  <c r="F45" i="3" s="1"/>
  <c r="H53" i="2"/>
  <c r="J53" i="2" s="1"/>
  <c r="F20" i="3" s="1"/>
  <c r="H54" i="2"/>
  <c r="J54" i="2" s="1"/>
  <c r="F21" i="3" s="1"/>
  <c r="H2" i="2"/>
  <c r="J2" i="2" s="1"/>
  <c r="F34" i="3" s="1"/>
  <c r="G3" i="2"/>
  <c r="I3" i="2" s="1"/>
  <c r="E40" i="3" s="1"/>
  <c r="H40" i="3" s="1"/>
  <c r="G4" i="2"/>
  <c r="I4" i="2" s="1"/>
  <c r="E38" i="3" s="1"/>
  <c r="H38" i="3" s="1"/>
  <c r="G5" i="2"/>
  <c r="I5" i="2" s="1"/>
  <c r="E47" i="3" s="1"/>
  <c r="H47" i="3" s="1"/>
  <c r="G6" i="2"/>
  <c r="I6" i="2" s="1"/>
  <c r="E42" i="3" s="1"/>
  <c r="H42" i="3" s="1"/>
  <c r="G7" i="2"/>
  <c r="I7" i="2" s="1"/>
  <c r="E9" i="3" s="1"/>
  <c r="H9" i="3" s="1"/>
  <c r="G8" i="2"/>
  <c r="I8" i="2" s="1"/>
  <c r="E48" i="3" s="1"/>
  <c r="H48" i="3" s="1"/>
  <c r="G9" i="2"/>
  <c r="I9" i="2" s="1"/>
  <c r="E33" i="3" s="1"/>
  <c r="H33" i="3" s="1"/>
  <c r="G10" i="2"/>
  <c r="G11" i="2"/>
  <c r="I11" i="2" s="1"/>
  <c r="E51" i="3" s="1"/>
  <c r="H51" i="3" s="1"/>
  <c r="G12" i="2"/>
  <c r="I12" i="2" s="1"/>
  <c r="E15" i="3" s="1"/>
  <c r="H15" i="3" s="1"/>
  <c r="G13" i="2"/>
  <c r="I13" i="2" s="1"/>
  <c r="E11" i="3" s="1"/>
  <c r="H11" i="3" s="1"/>
  <c r="G14" i="2"/>
  <c r="I14" i="2" s="1"/>
  <c r="E5" i="3" s="1"/>
  <c r="H5" i="3" s="1"/>
  <c r="G15" i="2"/>
  <c r="I15" i="2" s="1"/>
  <c r="E58" i="3" s="1"/>
  <c r="H58" i="3" s="1"/>
  <c r="G16" i="2"/>
  <c r="I16" i="2" s="1"/>
  <c r="E41" i="3" s="1"/>
  <c r="H41" i="3" s="1"/>
  <c r="G17" i="2"/>
  <c r="I17" i="2" s="1"/>
  <c r="E59" i="3" s="1"/>
  <c r="H59" i="3" s="1"/>
  <c r="G18" i="2"/>
  <c r="I18" i="2" s="1"/>
  <c r="E8" i="3" s="1"/>
  <c r="H8" i="3" s="1"/>
  <c r="G19" i="2"/>
  <c r="I19" i="2" s="1"/>
  <c r="E63" i="3" s="1"/>
  <c r="H63" i="3" s="1"/>
  <c r="G20" i="2"/>
  <c r="G21" i="2"/>
  <c r="I21" i="2" s="1"/>
  <c r="E32" i="3" s="1"/>
  <c r="H32" i="3" s="1"/>
  <c r="G22" i="2"/>
  <c r="I22" i="2" s="1"/>
  <c r="E12" i="3" s="1"/>
  <c r="H12" i="3" s="1"/>
  <c r="G23" i="2"/>
  <c r="I23" i="2" s="1"/>
  <c r="E35" i="3" s="1"/>
  <c r="H35" i="3" s="1"/>
  <c r="G24" i="2"/>
  <c r="I24" i="2" s="1"/>
  <c r="E49" i="3" s="1"/>
  <c r="H49" i="3" s="1"/>
  <c r="G25" i="2"/>
  <c r="I25" i="2" s="1"/>
  <c r="E7" i="3" s="1"/>
  <c r="H7" i="3" s="1"/>
  <c r="G26" i="2"/>
  <c r="I26" i="2" s="1"/>
  <c r="E39" i="3" s="1"/>
  <c r="H39" i="3" s="1"/>
  <c r="G27" i="2"/>
  <c r="I27" i="2" s="1"/>
  <c r="E66" i="3" s="1"/>
  <c r="H66" i="3" s="1"/>
  <c r="G28" i="2"/>
  <c r="I28" i="2" s="1"/>
  <c r="E67" i="3" s="1"/>
  <c r="H67" i="3" s="1"/>
  <c r="G29" i="2"/>
  <c r="I29" i="2" s="1"/>
  <c r="E6" i="3" s="1"/>
  <c r="G30" i="2"/>
  <c r="I30" i="2" s="1"/>
  <c r="E30" i="3" s="1"/>
  <c r="H30" i="3" s="1"/>
  <c r="G31" i="2"/>
  <c r="I31" i="2" s="1"/>
  <c r="E10" i="3" s="1"/>
  <c r="H10" i="3" s="1"/>
  <c r="G32" i="2"/>
  <c r="I32" i="2" s="1"/>
  <c r="E3" i="3" s="1"/>
  <c r="G33" i="2"/>
  <c r="I33" i="2" s="1"/>
  <c r="E36" i="3" s="1"/>
  <c r="G34" i="2"/>
  <c r="I34" i="2" s="1"/>
  <c r="E56" i="3" s="1"/>
  <c r="G35" i="2"/>
  <c r="I35" i="2" s="1"/>
  <c r="E62" i="3" s="1"/>
  <c r="G36" i="2"/>
  <c r="I36" i="2" s="1"/>
  <c r="E37" i="3" s="1"/>
  <c r="G37" i="2"/>
  <c r="I37" i="2" s="1"/>
  <c r="E18" i="3" s="1"/>
  <c r="G38" i="2"/>
  <c r="I38" i="2" s="1"/>
  <c r="E57" i="3" s="1"/>
  <c r="G39" i="2"/>
  <c r="I39" i="2" s="1"/>
  <c r="E31" i="3" s="1"/>
  <c r="G40" i="2"/>
  <c r="I40" i="2" s="1"/>
  <c r="E14" i="3" s="1"/>
  <c r="G41" i="2"/>
  <c r="I41" i="2" s="1"/>
  <c r="E44" i="3" s="1"/>
  <c r="G42" i="2"/>
  <c r="I42" i="2" s="1"/>
  <c r="E17" i="3" s="1"/>
  <c r="G43" i="2"/>
  <c r="I43" i="2" s="1"/>
  <c r="E54" i="3" s="1"/>
  <c r="G44" i="2"/>
  <c r="I44" i="2" s="1"/>
  <c r="E43" i="3" s="1"/>
  <c r="G45" i="2"/>
  <c r="I45" i="2" s="1"/>
  <c r="E50" i="3" s="1"/>
  <c r="G46" i="2"/>
  <c r="I46" i="2" s="1"/>
  <c r="E55" i="3" s="1"/>
  <c r="G47" i="2"/>
  <c r="I47" i="2" s="1"/>
  <c r="E46" i="3" s="1"/>
  <c r="G48" i="2"/>
  <c r="I48" i="2" s="1"/>
  <c r="E65" i="3" s="1"/>
  <c r="G49" i="2"/>
  <c r="I49" i="2" s="1"/>
  <c r="E69" i="3" s="1"/>
  <c r="G50" i="2"/>
  <c r="I50" i="2" s="1"/>
  <c r="E53" i="3" s="1"/>
  <c r="G51" i="2"/>
  <c r="I51" i="2" s="1"/>
  <c r="E52" i="3" s="1"/>
  <c r="G52" i="2"/>
  <c r="I52" i="2" s="1"/>
  <c r="E45" i="3" s="1"/>
  <c r="G53" i="2"/>
  <c r="I53" i="2" s="1"/>
  <c r="E20" i="3" s="1"/>
  <c r="G54" i="2"/>
  <c r="I54" i="2" s="1"/>
  <c r="E21" i="3" s="1"/>
  <c r="G2" i="2"/>
  <c r="I2" i="2" s="1"/>
  <c r="E34" i="3" s="1"/>
  <c r="D48" i="3"/>
  <c r="D15" i="3"/>
  <c r="D51" i="3"/>
  <c r="D11" i="3"/>
  <c r="D34" i="3"/>
  <c r="D40" i="3"/>
  <c r="D38" i="3"/>
  <c r="D47" i="3"/>
  <c r="D42" i="3"/>
  <c r="D41" i="3"/>
  <c r="D5" i="3"/>
  <c r="D33" i="3"/>
  <c r="D7" i="3"/>
  <c r="D32" i="3"/>
  <c r="D2" i="3"/>
  <c r="D8" i="3"/>
  <c r="D22" i="3"/>
  <c r="D12" i="3"/>
  <c r="D63" i="3"/>
  <c r="D59" i="3"/>
  <c r="D58" i="3"/>
  <c r="D19" i="3"/>
  <c r="D35" i="3"/>
  <c r="D27" i="3"/>
  <c r="D3" i="3"/>
  <c r="D56" i="3"/>
  <c r="D36" i="3"/>
  <c r="D39" i="3"/>
  <c r="D62" i="3"/>
  <c r="D37" i="3"/>
  <c r="D61" i="3"/>
  <c r="D49" i="3"/>
  <c r="D10" i="3"/>
  <c r="D13" i="3"/>
  <c r="D66" i="3"/>
  <c r="D6" i="3"/>
  <c r="D67" i="3"/>
  <c r="D4" i="3"/>
  <c r="D43" i="3"/>
  <c r="D18" i="3"/>
  <c r="D29" i="3"/>
  <c r="D30" i="3"/>
  <c r="D54" i="3"/>
  <c r="D31" i="3"/>
  <c r="D68" i="3"/>
  <c r="D24" i="3"/>
  <c r="D57" i="3"/>
  <c r="D16" i="3"/>
  <c r="D26" i="3"/>
  <c r="D17" i="3"/>
  <c r="D28" i="3"/>
  <c r="D14" i="3"/>
  <c r="D52" i="3"/>
  <c r="D45" i="3"/>
  <c r="D44" i="3"/>
  <c r="D64" i="3"/>
  <c r="D46" i="3"/>
  <c r="D53" i="3"/>
  <c r="D50" i="3"/>
  <c r="D65" i="3"/>
  <c r="D69" i="3"/>
  <c r="D23" i="3"/>
  <c r="D60" i="3"/>
  <c r="D55" i="3"/>
  <c r="D20" i="3"/>
  <c r="D25" i="3"/>
  <c r="D21" i="3"/>
  <c r="D9" i="3"/>
  <c r="H20" i="3" l="1"/>
  <c r="H69" i="3"/>
  <c r="H50" i="3"/>
  <c r="H44" i="3"/>
  <c r="H18" i="3"/>
  <c r="H36" i="3"/>
  <c r="H23" i="3"/>
  <c r="H16" i="3"/>
  <c r="H4" i="3"/>
  <c r="H22" i="3"/>
  <c r="H34" i="3"/>
  <c r="H52" i="3"/>
  <c r="H46" i="3"/>
  <c r="H54" i="3"/>
  <c r="H31" i="3"/>
  <c r="H25" i="3"/>
  <c r="H28" i="3"/>
  <c r="H62" i="3"/>
  <c r="H68" i="3"/>
  <c r="H61" i="3"/>
  <c r="H45" i="3"/>
  <c r="H65" i="3"/>
  <c r="H43" i="3"/>
  <c r="H14" i="3"/>
  <c r="H37" i="3"/>
  <c r="H3" i="3"/>
  <c r="H6" i="3"/>
  <c r="H2" i="3"/>
  <c r="H21" i="3"/>
  <c r="H53" i="3"/>
  <c r="H55" i="3"/>
  <c r="H17" i="3"/>
  <c r="H57" i="3"/>
  <c r="H56" i="3"/>
  <c r="H64" i="3"/>
  <c r="H24" i="3"/>
  <c r="H13" i="3"/>
  <c r="H19" i="3"/>
  <c r="H60" i="3"/>
  <c r="H26" i="3"/>
  <c r="H29" i="3"/>
  <c r="H27" i="3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2" i="1"/>
  <c r="D65" i="1"/>
  <c r="E65" i="1"/>
  <c r="F65" i="1"/>
  <c r="D66" i="1"/>
  <c r="E66" i="1"/>
  <c r="F66" i="1"/>
  <c r="D53" i="1"/>
  <c r="E53" i="1"/>
  <c r="F53" i="1"/>
  <c r="D47" i="1"/>
  <c r="E47" i="1"/>
  <c r="F47" i="1"/>
  <c r="E50" i="1"/>
  <c r="C49" i="1"/>
  <c r="F49" i="1" s="1"/>
  <c r="C50" i="1"/>
  <c r="D50" i="1" s="1"/>
  <c r="E33" i="1"/>
  <c r="F33" i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8" i="1"/>
  <c r="E49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7" i="1"/>
  <c r="E68" i="1"/>
  <c r="E69" i="1"/>
  <c r="C3" i="1"/>
  <c r="F3" i="1" s="1"/>
  <c r="C4" i="1"/>
  <c r="D4" i="1" s="1"/>
  <c r="C5" i="1"/>
  <c r="F5" i="1" s="1"/>
  <c r="C6" i="1"/>
  <c r="F6" i="1" s="1"/>
  <c r="C7" i="1"/>
  <c r="D7" i="1" s="1"/>
  <c r="C8" i="1"/>
  <c r="D8" i="1" s="1"/>
  <c r="C9" i="1"/>
  <c r="D9" i="1" s="1"/>
  <c r="C10" i="1"/>
  <c r="F10" i="1" s="1"/>
  <c r="C11" i="1"/>
  <c r="D11" i="1" s="1"/>
  <c r="C12" i="1"/>
  <c r="D12" i="1" s="1"/>
  <c r="C13" i="1"/>
  <c r="D13" i="1" s="1"/>
  <c r="C14" i="1"/>
  <c r="F14" i="1" s="1"/>
  <c r="C15" i="1"/>
  <c r="D15" i="1" s="1"/>
  <c r="C16" i="1"/>
  <c r="D16" i="1" s="1"/>
  <c r="C17" i="1"/>
  <c r="D17" i="1" s="1"/>
  <c r="C18" i="1"/>
  <c r="F18" i="1" s="1"/>
  <c r="C19" i="1"/>
  <c r="F19" i="1" s="1"/>
  <c r="C20" i="1"/>
  <c r="D20" i="1" s="1"/>
  <c r="C21" i="1"/>
  <c r="D21" i="1" s="1"/>
  <c r="C22" i="1"/>
  <c r="F22" i="1" s="1"/>
  <c r="C23" i="1"/>
  <c r="F23" i="1" s="1"/>
  <c r="C24" i="1"/>
  <c r="D24" i="1" s="1"/>
  <c r="C25" i="1"/>
  <c r="D25" i="1" s="1"/>
  <c r="C26" i="1"/>
  <c r="F26" i="1" s="1"/>
  <c r="C27" i="1"/>
  <c r="F27" i="1" s="1"/>
  <c r="C28" i="1"/>
  <c r="D28" i="1" s="1"/>
  <c r="C29" i="1"/>
  <c r="D29" i="1" s="1"/>
  <c r="C30" i="1"/>
  <c r="F30" i="1" s="1"/>
  <c r="C31" i="1"/>
  <c r="F31" i="1" s="1"/>
  <c r="C32" i="1"/>
  <c r="D32" i="1" s="1"/>
  <c r="C34" i="1"/>
  <c r="D34" i="1" s="1"/>
  <c r="C35" i="1"/>
  <c r="F35" i="1" s="1"/>
  <c r="C36" i="1"/>
  <c r="F36" i="1" s="1"/>
  <c r="C37" i="1"/>
  <c r="D37" i="1" s="1"/>
  <c r="C38" i="1"/>
  <c r="D38" i="1" s="1"/>
  <c r="C39" i="1"/>
  <c r="F39" i="1" s="1"/>
  <c r="C40" i="1"/>
  <c r="F40" i="1" s="1"/>
  <c r="C41" i="1"/>
  <c r="D41" i="1" s="1"/>
  <c r="C42" i="1"/>
  <c r="D42" i="1" s="1"/>
  <c r="C43" i="1"/>
  <c r="F43" i="1" s="1"/>
  <c r="C44" i="1"/>
  <c r="F44" i="1" s="1"/>
  <c r="C45" i="1"/>
  <c r="D45" i="1" s="1"/>
  <c r="C46" i="1"/>
  <c r="D46" i="1" s="1"/>
  <c r="C48" i="1"/>
  <c r="F48" i="1" s="1"/>
  <c r="C51" i="1"/>
  <c r="D51" i="1" s="1"/>
  <c r="C52" i="1"/>
  <c r="F52" i="1" s="1"/>
  <c r="C54" i="1"/>
  <c r="F54" i="1" s="1"/>
  <c r="C55" i="1"/>
  <c r="D55" i="1" s="1"/>
  <c r="C56" i="1"/>
  <c r="D56" i="1" s="1"/>
  <c r="C57" i="1"/>
  <c r="F57" i="1" s="1"/>
  <c r="C58" i="1"/>
  <c r="F58" i="1" s="1"/>
  <c r="C59" i="1"/>
  <c r="D59" i="1" s="1"/>
  <c r="C60" i="1"/>
  <c r="D60" i="1" s="1"/>
  <c r="C61" i="1"/>
  <c r="F61" i="1" s="1"/>
  <c r="C62" i="1"/>
  <c r="F62" i="1" s="1"/>
  <c r="C63" i="1"/>
  <c r="D63" i="1" s="1"/>
  <c r="C64" i="1"/>
  <c r="D64" i="1" s="1"/>
  <c r="C67" i="1"/>
  <c r="F67" i="1" s="1"/>
  <c r="C68" i="1"/>
  <c r="F68" i="1" s="1"/>
  <c r="C69" i="1"/>
  <c r="D69" i="1" s="1"/>
  <c r="C2" i="1"/>
  <c r="F2" i="1" l="1"/>
  <c r="F50" i="1"/>
  <c r="F60" i="1"/>
  <c r="F29" i="1"/>
  <c r="F15" i="1"/>
  <c r="F42" i="1"/>
  <c r="F25" i="1"/>
  <c r="F12" i="1"/>
  <c r="F38" i="1"/>
  <c r="F21" i="1"/>
  <c r="F9" i="1"/>
  <c r="F34" i="1"/>
  <c r="F17" i="1"/>
  <c r="F7" i="1"/>
  <c r="F51" i="1"/>
  <c r="F64" i="1"/>
  <c r="F46" i="1"/>
  <c r="F37" i="1"/>
  <c r="F28" i="1"/>
  <c r="F20" i="1"/>
  <c r="F13" i="1"/>
  <c r="F8" i="1"/>
  <c r="F56" i="1"/>
  <c r="F41" i="1"/>
  <c r="F32" i="1"/>
  <c r="F24" i="1"/>
  <c r="F16" i="1"/>
  <c r="F11" i="1"/>
  <c r="D68" i="1"/>
  <c r="D62" i="1"/>
  <c r="D58" i="1"/>
  <c r="D54" i="1"/>
  <c r="D49" i="1"/>
  <c r="D44" i="1"/>
  <c r="D40" i="1"/>
  <c r="D36" i="1"/>
  <c r="D31" i="1"/>
  <c r="D27" i="1"/>
  <c r="D23" i="1"/>
  <c r="D19" i="1"/>
  <c r="D3" i="1"/>
  <c r="F69" i="1"/>
  <c r="F63" i="1"/>
  <c r="F59" i="1"/>
  <c r="F55" i="1"/>
  <c r="F45" i="1"/>
  <c r="F4" i="1"/>
  <c r="D67" i="1"/>
  <c r="D61" i="1"/>
  <c r="D57" i="1"/>
  <c r="D52" i="1"/>
  <c r="D48" i="1"/>
  <c r="D43" i="1"/>
  <c r="D39" i="1"/>
  <c r="D35" i="1"/>
  <c r="D30" i="1"/>
  <c r="D26" i="1"/>
  <c r="D22" i="1"/>
  <c r="D18" i="1"/>
  <c r="D14" i="1"/>
  <c r="D10" i="1"/>
  <c r="D6" i="1"/>
  <c r="D2" i="1"/>
  <c r="D5" i="1"/>
</calcChain>
</file>

<file path=xl/sharedStrings.xml><?xml version="1.0" encoding="utf-8"?>
<sst xmlns="http://schemas.openxmlformats.org/spreadsheetml/2006/main" count="472" uniqueCount="231">
  <si>
    <t>Term</t>
  </si>
  <si>
    <t>Estimate</t>
  </si>
  <si>
    <t>PROPERTY Hostels &amp; B&amp;Bs</t>
  </si>
  <si>
    <t>PROPERTY Roofless</t>
  </si>
  <si>
    <t>PROPERTY Prison</t>
  </si>
  <si>
    <t>REASON Eviction UK borders</t>
  </si>
  <si>
    <t>PROPERTY Sofa-surfing</t>
  </si>
  <si>
    <t>ACTIVITY Help remaining</t>
  </si>
  <si>
    <t>PROPERTY Hospital</t>
  </si>
  <si>
    <t>REASON Financial / benefits issues</t>
  </si>
  <si>
    <t>ACTIVITY Other</t>
  </si>
  <si>
    <t>REASON HO advice</t>
  </si>
  <si>
    <t>(Intercept)</t>
  </si>
  <si>
    <t>ACTIVITY Home ownership advice</t>
  </si>
  <si>
    <t>ACTIVITY Help moving</t>
  </si>
  <si>
    <t>ACTIVITY Homelessness rights</t>
  </si>
  <si>
    <t>SUPPORT Yes</t>
  </si>
  <si>
    <t>REASON Violent abusive dispute</t>
  </si>
  <si>
    <t>REASON Service tied accom</t>
  </si>
  <si>
    <t>ACTIVITY TYPE 3</t>
  </si>
  <si>
    <t>PROPERTY RSL tenancy</t>
  </si>
  <si>
    <t>ACTIVITY BY 3</t>
  </si>
  <si>
    <t>ACTIVITY Financial assistance</t>
  </si>
  <si>
    <t>PROPERTY Lodger</t>
  </si>
  <si>
    <t>PROPERTY Home ownership</t>
  </si>
  <si>
    <t>PROPERTY Other</t>
  </si>
  <si>
    <t>REASON Fleeing</t>
  </si>
  <si>
    <t>ETHNCITIY Refused</t>
  </si>
  <si>
    <t>PROPERTY LA tenancy</t>
  </si>
  <si>
    <t>VULNERABILITY Lack of support</t>
  </si>
  <si>
    <t>ETHNICITY White Polish</t>
  </si>
  <si>
    <t>ACTIVITY COUNT</t>
  </si>
  <si>
    <t>REASON Overcrowding</t>
  </si>
  <si>
    <t>VULNERABILITY Mental health</t>
  </si>
  <si>
    <t>ACTIVITY BY 2</t>
  </si>
  <si>
    <t>PROPERTY PRS tenancy</t>
  </si>
  <si>
    <t>SUPPORT Not known</t>
  </si>
  <si>
    <t>RSNSCT Prop unavailable in future</t>
  </si>
  <si>
    <t>ACTIVITY HO advice</t>
  </si>
  <si>
    <t>ACTIVITY Landlord negotiations</t>
  </si>
  <si>
    <t>PROPERTY Supported accommodation</t>
  </si>
  <si>
    <t>ACTIVITY TYPE 2</t>
  </si>
  <si>
    <t>Previous approach</t>
  </si>
  <si>
    <t>VULNERABILITY Physical</t>
  </si>
  <si>
    <t>PROPERTY Family</t>
  </si>
  <si>
    <t>REASON Other leaving accom</t>
  </si>
  <si>
    <t>REASON Rent arrears / default</t>
  </si>
  <si>
    <t>ETHNICITY Not known</t>
  </si>
  <si>
    <t>ACTIVITY Referral services</t>
  </si>
  <si>
    <t>ETHNICITY White British</t>
  </si>
  <si>
    <t>ACTIVITY Social care &amp; adaptations</t>
  </si>
  <si>
    <t>ACTIVITY Mediation</t>
  </si>
  <si>
    <t>GENDER Female</t>
  </si>
  <si>
    <t>REASON Landlord action</t>
  </si>
  <si>
    <t>REASON Condition unsuitable</t>
  </si>
  <si>
    <t>REASON Asked to leave</t>
  </si>
  <si>
    <t>VULNERABILITY COUNT</t>
  </si>
  <si>
    <t>REASON Discharge</t>
  </si>
  <si>
    <t>REASON Non-violent dispute</t>
  </si>
  <si>
    <t>ETHNICITY Asian</t>
  </si>
  <si>
    <t>RSNSCT Need to leave accom</t>
  </si>
  <si>
    <t>REASON Other loss accom</t>
  </si>
  <si>
    <t>AGEATAPP</t>
  </si>
  <si>
    <t>ETHNICITY Other</t>
  </si>
  <si>
    <t>APP2OUT</t>
  </si>
  <si>
    <t>std.error</t>
  </si>
  <si>
    <t>Statistic</t>
  </si>
  <si>
    <t>p.value</t>
  </si>
  <si>
    <t>he</t>
  </si>
  <si>
    <t>ACTIVITY BY 1</t>
  </si>
  <si>
    <t>PROPERTY Friends &amp; partners</t>
  </si>
  <si>
    <t>REASON Harassment</t>
  </si>
  <si>
    <t>VULNERABILITY Financial</t>
  </si>
  <si>
    <t>VULNERABILITY Unmet need</t>
  </si>
  <si>
    <t>Difference</t>
  </si>
  <si>
    <t>OR LR mRMR</t>
  </si>
  <si>
    <t xml:space="preserve">OR ENet </t>
  </si>
  <si>
    <t>LR mRMR estimate</t>
  </si>
  <si>
    <t>Enet Estimate</t>
  </si>
  <si>
    <t>Enet estimate</t>
  </si>
  <si>
    <t>LR mRMR std.error</t>
  </si>
  <si>
    <t>lower limit</t>
  </si>
  <si>
    <t>upper limit</t>
  </si>
  <si>
    <t>or lower limit</t>
  </si>
  <si>
    <t>or upper limit</t>
  </si>
  <si>
    <t>Enet</t>
  </si>
  <si>
    <t>NA</t>
  </si>
  <si>
    <t>Elastic Net</t>
  </si>
  <si>
    <t>LR P-value</t>
  </si>
  <si>
    <t>LR</t>
  </si>
  <si>
    <t>lower</t>
  </si>
  <si>
    <t>upper</t>
  </si>
  <si>
    <t>REASON Service tied accommodation</t>
  </si>
  <si>
    <t>LR p-value</t>
  </si>
  <si>
    <t>Lower Limit</t>
  </si>
  <si>
    <t>Upper Limit</t>
  </si>
  <si>
    <t>Adjusted Odds Ratios</t>
  </si>
  <si>
    <t>RSNSCT Need to leave accommodation</t>
  </si>
  <si>
    <t>RSNSCT Property unavailable in future</t>
  </si>
  <si>
    <t>those not receiving homelessness rights are 2.08 times more likely of a successful hoo</t>
  </si>
  <si>
    <t>those receiving homelessness rights are 2.08 times less likely of a successful hoo</t>
  </si>
  <si>
    <t>GENDER Female versus male</t>
  </si>
  <si>
    <t>Logistic Regression (95% CI)</t>
  </si>
  <si>
    <t>0.30 (0.15, 0.57)</t>
  </si>
  <si>
    <t>1.41 (1.26, 1.59)</t>
  </si>
  <si>
    <t>2.56 (2.24, 2.93)</t>
  </si>
  <si>
    <t>0.65 (0.51, 0.83)</t>
  </si>
  <si>
    <t>1.73 (1.38, 2.15)</t>
  </si>
  <si>
    <t>0.46 (0.34, 0.62)</t>
  </si>
  <si>
    <t>4.85 (3.94, 5.98)</t>
  </si>
  <si>
    <t>1.43 (1.33, 1.55)</t>
  </si>
  <si>
    <t>2.69 (0.86, 8.39)</t>
  </si>
  <si>
    <t>0.52 (0.48, 0.56)</t>
  </si>
  <si>
    <t>0.84 (0.45, 1.57)</t>
  </si>
  <si>
    <t>2.94 (0.71, 12.12)</t>
  </si>
  <si>
    <t>0.86 (0.38, 1.94)</t>
  </si>
  <si>
    <t>0.77 (0.73, 0.82)</t>
  </si>
  <si>
    <t>0.50 (0.25, 1.00)</t>
  </si>
  <si>
    <t>1.00 (1.00, 1.01)</t>
  </si>
  <si>
    <t>1.00 (1.00, 1.00)</t>
  </si>
  <si>
    <t>1.47 (0.84, 2.58)</t>
  </si>
  <si>
    <t>1.21 (0.69, 2.12)</t>
  </si>
  <si>
    <t>1.98 (1.11, 3.54)</t>
  </si>
  <si>
    <t>0.26 (0.12, 0.56)</t>
  </si>
  <si>
    <t>0.05 (0.02, 0.13)</t>
  </si>
  <si>
    <t>1.84 (1.05, 3.25)</t>
  </si>
  <si>
    <t>0.72 (0.40, 1.32)</t>
  </si>
  <si>
    <t>0.76 (0.43, 1.34)</t>
  </si>
  <si>
    <t>0.09 (0.05, 0.17)</t>
  </si>
  <si>
    <t>1.71 (0.97, 3.00)</t>
  </si>
  <si>
    <t>0.06 (0.02, 0.16)</t>
  </si>
  <si>
    <t>2.31 (1.32, 4.05)</t>
  </si>
  <si>
    <t>0.11 (0.05, 0.23)</t>
  </si>
  <si>
    <t>0.90 (0.51, 1.60)</t>
  </si>
  <si>
    <t>0.84 (0.66, 1.09)</t>
  </si>
  <si>
    <t>1.01 (0.73, 1.41)</t>
  </si>
  <si>
    <t>1.08 (0.80, 1.46)</t>
  </si>
  <si>
    <t>0.11 (0.07, 0.16)</t>
  </si>
  <si>
    <t>4.13 (3.08, 5.53)</t>
  </si>
  <si>
    <t>0.58 (0.44, 0.76)</t>
  </si>
  <si>
    <t>0.91 (0.67, 1.22)</t>
  </si>
  <si>
    <t>3.11 (2.42, 4.00)</t>
  </si>
  <si>
    <t>1.04 (0.81, 1.35)</t>
  </si>
  <si>
    <t>0.96 (0.74, 1.23)</t>
  </si>
  <si>
    <t>1.14 (0.88, 1.47)</t>
  </si>
  <si>
    <t>0.92 (0.71, 1.19)</t>
  </si>
  <si>
    <t>1.37 (1.03, 1.81)</t>
  </si>
  <si>
    <t>0.80 (0.61, 1.06)</t>
  </si>
  <si>
    <t>0.42 (0.20, 0.89)</t>
  </si>
  <si>
    <t>0.46 (0.35, 0.60)</t>
  </si>
  <si>
    <t>1.36 (1.29, 1.43)</t>
  </si>
  <si>
    <t>0.48 (0.43, 0.54)</t>
  </si>
  <si>
    <t>0.94 (0.85, 1.03)</t>
  </si>
  <si>
    <t>0.63 (0.59, 0.68)</t>
  </si>
  <si>
    <t>0.64 (0.59, 0.68)</t>
  </si>
  <si>
    <t>0.95 (0.86, 1.06)</t>
  </si>
  <si>
    <t>Categorical variables</t>
  </si>
  <si>
    <t>Continuous variables</t>
  </si>
  <si>
    <t>Binary variables</t>
  </si>
  <si>
    <t>Refused</t>
  </si>
  <si>
    <t>Asian</t>
  </si>
  <si>
    <t>Not known</t>
  </si>
  <si>
    <t>Other</t>
  </si>
  <si>
    <t>White British</t>
  </si>
  <si>
    <t>White Polish</t>
  </si>
  <si>
    <t>ETHNICITY (reference: African)</t>
  </si>
  <si>
    <t>PROPERTY (reference: Employment/armed forces accommodation)</t>
  </si>
  <si>
    <t>Family</t>
  </si>
  <si>
    <t>Friends &amp; partners</t>
  </si>
  <si>
    <t>Home ownership</t>
  </si>
  <si>
    <t>Hospital</t>
  </si>
  <si>
    <t>Hostels &amp; B&amp;Bs</t>
  </si>
  <si>
    <t>LA tenancy</t>
  </si>
  <si>
    <t>Lodger</t>
  </si>
  <si>
    <t>Prison</t>
  </si>
  <si>
    <t>PRS tenancy</t>
  </si>
  <si>
    <t>Roofless</t>
  </si>
  <si>
    <t>RSL tenancy</t>
  </si>
  <si>
    <t>Sofa-surfing</t>
  </si>
  <si>
    <t>Supported accommodation</t>
  </si>
  <si>
    <t>Asked to leave</t>
  </si>
  <si>
    <t>Condition unsuitable</t>
  </si>
  <si>
    <t>Discharge</t>
  </si>
  <si>
    <t>Eviction UK borders</t>
  </si>
  <si>
    <t>Financial / benefits issues</t>
  </si>
  <si>
    <t>Fleeing</t>
  </si>
  <si>
    <t>Harassment</t>
  </si>
  <si>
    <t>HO advice</t>
  </si>
  <si>
    <t>Landlord action</t>
  </si>
  <si>
    <t>Non-violent dispute</t>
  </si>
  <si>
    <t>Other leaving accommodation</t>
  </si>
  <si>
    <t>Other loss accommodation</t>
  </si>
  <si>
    <t>Overcrowding</t>
  </si>
  <si>
    <t>Rent arrears / default</t>
  </si>
  <si>
    <t>Service tied accommodation</t>
  </si>
  <si>
    <t>Violent abusive dispute</t>
  </si>
  <si>
    <t>Property unavailable in future</t>
  </si>
  <si>
    <t>Need to leave accommodation</t>
  </si>
  <si>
    <t>SUPPORT (reference: No)</t>
  </si>
  <si>
    <t>Yes</t>
  </si>
  <si>
    <t>1 - LA housing department</t>
  </si>
  <si>
    <t>2 - LA social work</t>
  </si>
  <si>
    <t>3 - Other</t>
  </si>
  <si>
    <t>Financial assistance</t>
  </si>
  <si>
    <t>Help moving</t>
  </si>
  <si>
    <t>Help remaining</t>
  </si>
  <si>
    <t>Home ownership advice</t>
  </si>
  <si>
    <t>Homelessness rights</t>
  </si>
  <si>
    <t>Landlord negotiations</t>
  </si>
  <si>
    <t>Mediation</t>
  </si>
  <si>
    <t>Referral services</t>
  </si>
  <si>
    <t>Social care &amp; adaptations</t>
  </si>
  <si>
    <t>ACTIVITY (Received versus not received)</t>
  </si>
  <si>
    <t>ACTIVITY BY (Received from versus not received from)</t>
  </si>
  <si>
    <t>2 - casework</t>
  </si>
  <si>
    <t>3 - Advocacy, representation &amp; mediation at tribunal/court</t>
  </si>
  <si>
    <t>Financial</t>
  </si>
  <si>
    <t>Lack of support</t>
  </si>
  <si>
    <t>Mental health</t>
  </si>
  <si>
    <t>Physical</t>
  </si>
  <si>
    <t>Unmet need</t>
  </si>
  <si>
    <t>PREVIOUS APPROACH Yes versus no</t>
  </si>
  <si>
    <t>REASON (reference: Applicant terminated accommodation)</t>
  </si>
  <si>
    <t>RSNSCT (reference: Accommodation no longer available)</t>
  </si>
  <si>
    <t>ACTIVITY TYPE (Received this type of activity versus not this type)</t>
  </si>
  <si>
    <t>VULNERABILITY (Have versus does not have)</t>
  </si>
  <si>
    <t>ACTIVITY BY 3 Other</t>
  </si>
  <si>
    <t>ACTIVITY BY 1 - LA housing department</t>
  </si>
  <si>
    <t>ACTIVITY BY 2 LA social work</t>
  </si>
  <si>
    <t>ACTIVITY TYPE 2 Casework</t>
  </si>
  <si>
    <t>PREVIOUS APPROACH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</si>
</sst>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E+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33" borderId="0" xfId="0" applyFill="1"/>
    <xf numFmtId="0" fontId="16" fillId="0" borderId="0" xfId="0" applyFont="1"/>
    <xf numFmtId="2" fontId="0" fillId="0" borderId="0" xfId="0" applyNumberFormat="1"/>
    <xf numFmtId="0" fontId="16" fillId="0" borderId="0" xfId="0" applyFont="1" applyAlignment="1">
      <alignment horizontal="right"/>
    </xf>
    <xf numFmtId="0" fontId="16" fillId="0" borderId="0" xfId="0" applyFont="1" applyAlignment="1">
      <alignment horizontal="right" wrapText="1"/>
    </xf>
    <xf numFmtId="2" fontId="0" fillId="0" borderId="0" xfId="0" applyNumberFormat="1" applyAlignment="1">
      <alignment horizontal="right"/>
    </xf>
    <xf numFmtId="2" fontId="0" fillId="3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16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33" borderId="0" xfId="0" applyFill="1" applyAlignment="1">
      <alignment horizontal="left"/>
    </xf>
    <xf numFmtId="0" fontId="0" fillId="33" borderId="0" xfId="0" applyFill="1" applyAlignment="1">
      <alignment horizontal="right"/>
    </xf>
    <xf numFmtId="11" fontId="0" fillId="0" borderId="0" xfId="0" applyNumberFormat="1" applyAlignment="1">
      <alignment horizontal="right"/>
    </xf>
    <xf numFmtId="2" fontId="0" fillId="0" borderId="0" xfId="0" applyNumberFormat="1" applyAlignment="1">
      <alignment horizontal="left" vertical="top"/>
    </xf>
    <xf numFmtId="0" fontId="0" fillId="0" borderId="0" xfId="0" applyAlignment="1">
      <alignment horizontal="left" indent="1"/>
    </xf>
    <xf numFmtId="0" fontId="0" fillId="33" borderId="0" xfId="0" applyFill="1" applyAlignment="1">
      <alignment horizontal="left" indent="3"/>
    </xf>
    <xf numFmtId="0" fontId="0" fillId="0" borderId="0" xfId="0" applyAlignment="1">
      <alignment horizontal="left" indent="3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left" indent="1"/>
    </xf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72"/>
  <sheetViews>
    <sheetView topLeftCell="A28" zoomScaleNormal="100" workbookViewId="0">
      <selection activeCell="C73" sqref="C73"/>
    </sheetView>
  </sheetViews>
  <sheetFormatPr baseColWidth="10" defaultRowHeight="16" x14ac:dyDescent="0.2"/>
  <cols>
    <col min="1" max="1" width="33" style="10" bestFit="1" customWidth="1"/>
    <col min="2" max="2" width="15.1640625" bestFit="1" customWidth="1"/>
    <col min="3" max="3" width="19.83203125" bestFit="1" customWidth="1"/>
    <col min="4" max="4" width="12.33203125" bestFit="1" customWidth="1"/>
    <col min="5" max="5" width="8.6640625" style="8" bestFit="1" customWidth="1"/>
    <col min="6" max="6" width="12.33203125" style="8" bestFit="1" customWidth="1"/>
    <col min="7" max="7" width="9.33203125" style="8" bestFit="1" customWidth="1"/>
    <col min="8" max="8" width="12.1640625" bestFit="1" customWidth="1"/>
  </cols>
  <sheetData>
    <row r="1" spans="1:8" ht="34" x14ac:dyDescent="0.2">
      <c r="A1" s="9" t="s">
        <v>0</v>
      </c>
      <c r="B1" s="2" t="s">
        <v>78</v>
      </c>
      <c r="C1" s="2" t="s">
        <v>77</v>
      </c>
      <c r="D1" s="2" t="s">
        <v>74</v>
      </c>
      <c r="E1" s="4" t="s">
        <v>76</v>
      </c>
      <c r="F1" s="4" t="s">
        <v>75</v>
      </c>
      <c r="G1" s="5" t="s">
        <v>80</v>
      </c>
      <c r="H1" s="4" t="s">
        <v>88</v>
      </c>
    </row>
    <row r="2" spans="1:8" x14ac:dyDescent="0.2">
      <c r="A2" s="10" t="s">
        <v>2</v>
      </c>
      <c r="B2">
        <v>-2.7065001550000001</v>
      </c>
      <c r="C2">
        <f>VLOOKUP(A2,'coefs in LR model only'!A:B,2,0)</f>
        <v>-2.953261049</v>
      </c>
      <c r="D2">
        <f>ABS(C2-B2)</f>
        <v>0.2467608939999999</v>
      </c>
      <c r="E2" s="6">
        <f>EXP(B2)</f>
        <v>6.677008320297409E-2</v>
      </c>
      <c r="F2" s="6">
        <f>EXP(C2)</f>
        <v>5.2169301602163341E-2</v>
      </c>
      <c r="G2" s="6">
        <f>VLOOKUP(A2,'coefs in LR model only'!A:C,3,0)</f>
        <v>0.48199575300000003</v>
      </c>
      <c r="H2">
        <f>VLOOKUP(A2,'coefs in LR model only'!A:E,5,0)</f>
        <v>8.9500000000000001E-10</v>
      </c>
    </row>
    <row r="3" spans="1:8" x14ac:dyDescent="0.2">
      <c r="A3" s="10" t="s">
        <v>3</v>
      </c>
      <c r="B3">
        <v>-2.5209294999999998</v>
      </c>
      <c r="C3">
        <f>VLOOKUP(A3,'coefs in LR model only'!A:B,2,0)</f>
        <v>-2.754108542</v>
      </c>
      <c r="D3">
        <f t="shared" ref="D3:D69" si="0">ABS(C3-B3)</f>
        <v>0.23317904200000017</v>
      </c>
      <c r="E3" s="6">
        <f t="shared" ref="E3:E69" si="1">EXP(B3)</f>
        <v>8.0384854291645547E-2</v>
      </c>
      <c r="F3" s="6">
        <f t="shared" ref="F3:F46" si="2">EXP(C3)</f>
        <v>6.3665749720700063E-2</v>
      </c>
      <c r="G3" s="6">
        <f>VLOOKUP(A3,'coefs in LR model only'!A:C,3,0)</f>
        <v>0.48149819599999999</v>
      </c>
      <c r="H3">
        <f>VLOOKUP(A3,'coefs in LR model only'!A:E,5,0)</f>
        <v>1.07E-8</v>
      </c>
    </row>
    <row r="4" spans="1:8" x14ac:dyDescent="0.2">
      <c r="A4" s="10" t="s">
        <v>4</v>
      </c>
      <c r="B4">
        <v>-2.3886980699999998</v>
      </c>
      <c r="C4">
        <f>VLOOKUP(A4,'coefs in LR model only'!A:B,2,0)</f>
        <v>-2.3671559150000001</v>
      </c>
      <c r="D4">
        <f t="shared" si="0"/>
        <v>2.1542154999999674E-2</v>
      </c>
      <c r="E4" s="6">
        <f t="shared" si="1"/>
        <v>9.1749057002700279E-2</v>
      </c>
      <c r="F4" s="6">
        <f t="shared" si="2"/>
        <v>9.3746971842495391E-2</v>
      </c>
      <c r="G4" s="6">
        <f>VLOOKUP(A4,'coefs in LR model only'!A:C,3,0)</f>
        <v>0.30417730999999998</v>
      </c>
      <c r="H4">
        <f>VLOOKUP(A4,'coefs in LR model only'!A:E,5,0)</f>
        <v>7.1300000000000003E-15</v>
      </c>
    </row>
    <row r="5" spans="1:8" x14ac:dyDescent="0.2">
      <c r="A5" s="10" t="s">
        <v>5</v>
      </c>
      <c r="B5">
        <v>-2.274944606</v>
      </c>
      <c r="C5">
        <f>VLOOKUP(A5,'coefs in LR model only'!A:B,2,0)</f>
        <v>-2.222152919</v>
      </c>
      <c r="D5">
        <f t="shared" si="0"/>
        <v>5.2791687000000032E-2</v>
      </c>
      <c r="E5" s="6">
        <f t="shared" si="1"/>
        <v>0.10280260292495107</v>
      </c>
      <c r="F5" s="6">
        <f t="shared" si="2"/>
        <v>0.10837553373533938</v>
      </c>
      <c r="G5" s="6">
        <f>VLOOKUP(A5,'coefs in LR model only'!A:C,3,0)</f>
        <v>0.20728653399999999</v>
      </c>
      <c r="H5">
        <f>VLOOKUP(A5,'coefs in LR model only'!A:E,5,0)</f>
        <v>8.1800000000000007E-27</v>
      </c>
    </row>
    <row r="6" spans="1:8" x14ac:dyDescent="0.2">
      <c r="A6" s="10" t="s">
        <v>6</v>
      </c>
      <c r="B6">
        <v>-2.1694918959999998</v>
      </c>
      <c r="C6">
        <f>VLOOKUP(A6,'coefs in LR model only'!A:B,2,0)</f>
        <v>-2.2074792529999998</v>
      </c>
      <c r="D6">
        <f t="shared" si="0"/>
        <v>3.7987356999999999E-2</v>
      </c>
      <c r="E6" s="6">
        <f t="shared" si="1"/>
        <v>0.11423564575579505</v>
      </c>
      <c r="F6" s="6">
        <f t="shared" si="2"/>
        <v>0.1099775249172246</v>
      </c>
      <c r="G6" s="6">
        <f>VLOOKUP(A6,'coefs in LR model only'!A:C,3,0)</f>
        <v>0.38571787299999999</v>
      </c>
      <c r="H6">
        <f>VLOOKUP(A6,'coefs in LR model only'!A:E,5,0)</f>
        <v>1.05E-8</v>
      </c>
    </row>
    <row r="7" spans="1:8" x14ac:dyDescent="0.2">
      <c r="A7" s="10" t="s">
        <v>7</v>
      </c>
      <c r="B7">
        <v>1.5191068210000001</v>
      </c>
      <c r="C7">
        <f>VLOOKUP(A7,'coefs in LR model only'!A:B,2,0)</f>
        <v>1.5795689639999999</v>
      </c>
      <c r="D7">
        <f t="shared" si="0"/>
        <v>6.0462142999999857E-2</v>
      </c>
      <c r="E7" s="6">
        <f t="shared" si="1"/>
        <v>4.5681432028608535</v>
      </c>
      <c r="F7" s="6">
        <f t="shared" si="2"/>
        <v>4.8528636014456437</v>
      </c>
      <c r="G7" s="6">
        <f>VLOOKUP(A7,'coefs in LR model only'!A:C,3,0)</f>
        <v>0.106179921</v>
      </c>
      <c r="H7">
        <f>VLOOKUP(A7,'coefs in LR model only'!A:E,5,0)</f>
        <v>4.6899999999999999E-50</v>
      </c>
    </row>
    <row r="8" spans="1:8" x14ac:dyDescent="0.2">
      <c r="A8" s="10" t="s">
        <v>8</v>
      </c>
      <c r="B8">
        <v>-1.235333711</v>
      </c>
      <c r="C8">
        <f>VLOOKUP(A8,'coefs in LR model only'!A:B,2,0)</f>
        <v>-1.361362862</v>
      </c>
      <c r="D8">
        <f t="shared" si="0"/>
        <v>0.12602915100000001</v>
      </c>
      <c r="E8" s="6">
        <f t="shared" si="1"/>
        <v>0.29073772380078622</v>
      </c>
      <c r="F8" s="6">
        <f t="shared" si="2"/>
        <v>0.25631122198545192</v>
      </c>
      <c r="G8" s="6">
        <f>VLOOKUP(A8,'coefs in LR model only'!A:C,3,0)</f>
        <v>0.400822925</v>
      </c>
      <c r="H8">
        <f>VLOOKUP(A8,'coefs in LR model only'!A:E,5,0)</f>
        <v>6.8273599999999998E-4</v>
      </c>
    </row>
    <row r="9" spans="1:8" x14ac:dyDescent="0.2">
      <c r="A9" s="10" t="s">
        <v>9</v>
      </c>
      <c r="B9">
        <v>1.1124023730000001</v>
      </c>
      <c r="C9">
        <f>VLOOKUP(A9,'coefs in LR model only'!A:B,2,0)</f>
        <v>1.4183323779999999</v>
      </c>
      <c r="D9">
        <f t="shared" si="0"/>
        <v>0.30593000499999978</v>
      </c>
      <c r="E9" s="6">
        <f t="shared" si="1"/>
        <v>3.041656818372922</v>
      </c>
      <c r="F9" s="6">
        <f t="shared" si="2"/>
        <v>4.1302270365819114</v>
      </c>
      <c r="G9" s="6">
        <f>VLOOKUP(A9,'coefs in LR model only'!A:C,3,0)</f>
        <v>0.148994981</v>
      </c>
      <c r="H9">
        <f>VLOOKUP(A9,'coefs in LR model only'!A:E,5,0)</f>
        <v>1.7399999999999999E-21</v>
      </c>
    </row>
    <row r="10" spans="1:8" s="1" customFormat="1" x14ac:dyDescent="0.2">
      <c r="A10" s="11" t="s">
        <v>10</v>
      </c>
      <c r="B10" s="1">
        <v>0.95792944599999996</v>
      </c>
      <c r="C10" s="1">
        <f>VLOOKUP(A10,'coefs in LR model only'!A:B,2,0)</f>
        <v>1.077172743</v>
      </c>
      <c r="D10" s="1">
        <f t="shared" si="0"/>
        <v>0.11924329700000003</v>
      </c>
      <c r="E10" s="7">
        <f t="shared" si="1"/>
        <v>2.6062944094058897</v>
      </c>
      <c r="F10" s="7">
        <f t="shared" si="2"/>
        <v>2.9363659430830187</v>
      </c>
      <c r="G10" s="7">
        <f>VLOOKUP(A10,'coefs in LR model only'!A:C,3,0)</f>
        <v>0.72323721799999996</v>
      </c>
      <c r="H10">
        <f>VLOOKUP(A10,'coefs in LR model only'!A:E,5,0)</f>
        <v>0.136388171</v>
      </c>
    </row>
    <row r="11" spans="1:8" x14ac:dyDescent="0.2">
      <c r="A11" s="10" t="s">
        <v>11</v>
      </c>
      <c r="B11">
        <v>0.86260097000000002</v>
      </c>
      <c r="C11">
        <f>VLOOKUP(A11,'coefs in LR model only'!A:B,2,0)</f>
        <v>1.1353184489999999</v>
      </c>
      <c r="D11">
        <f t="shared" si="0"/>
        <v>0.27271747899999987</v>
      </c>
      <c r="E11" s="6">
        <f t="shared" si="1"/>
        <v>2.3693152041541956</v>
      </c>
      <c r="F11" s="6">
        <f t="shared" si="2"/>
        <v>3.112164450777128</v>
      </c>
      <c r="G11" s="6">
        <f>VLOOKUP(A11,'coefs in LR model only'!A:C,3,0)</f>
        <v>0.12788371400000001</v>
      </c>
      <c r="H11">
        <f>VLOOKUP(A11,'coefs in LR model only'!A:E,5,0)</f>
        <v>6.8200000000000001E-19</v>
      </c>
    </row>
    <row r="12" spans="1:8" x14ac:dyDescent="0.2">
      <c r="A12" s="10" t="s">
        <v>12</v>
      </c>
      <c r="B12">
        <v>-0.83884318000000002</v>
      </c>
      <c r="C12">
        <f>VLOOKUP(A12,'coefs in LR model only'!A:B,2,0)</f>
        <v>-1.2186591309999999</v>
      </c>
      <c r="D12">
        <f t="shared" si="0"/>
        <v>0.37981595099999987</v>
      </c>
      <c r="E12" s="6">
        <f t="shared" si="1"/>
        <v>0.43221022377274243</v>
      </c>
      <c r="F12" s="6">
        <f t="shared" si="2"/>
        <v>0.29562629742290919</v>
      </c>
      <c r="G12" s="6">
        <f>VLOOKUP(A12,'coefs in LR model only'!A:C,3,0)</f>
        <v>0.33545882399999999</v>
      </c>
      <c r="H12">
        <f>VLOOKUP(A12,'coefs in LR model only'!A:E,5,0)</f>
        <v>2.8034799999999998E-4</v>
      </c>
    </row>
    <row r="13" spans="1:8" s="1" customFormat="1" x14ac:dyDescent="0.2">
      <c r="A13" s="11" t="s">
        <v>13</v>
      </c>
      <c r="B13" s="1">
        <v>0.80693435599999996</v>
      </c>
      <c r="C13" s="1">
        <f>VLOOKUP(A13,'coefs in LR model only'!A:B,2,0)</f>
        <v>0.98895551599999998</v>
      </c>
      <c r="D13" s="1">
        <f t="shared" si="0"/>
        <v>0.18202116000000002</v>
      </c>
      <c r="E13" s="7">
        <f t="shared" si="1"/>
        <v>2.2410272533728079</v>
      </c>
      <c r="F13" s="7">
        <f t="shared" si="2"/>
        <v>2.6884249884885318</v>
      </c>
      <c r="G13" s="7">
        <f>VLOOKUP(A13,'coefs in LR model only'!A:C,3,0)</f>
        <v>0.58049732099999996</v>
      </c>
      <c r="H13">
        <f>VLOOKUP(A13,'coefs in LR model only'!A:E,5,0)</f>
        <v>8.8449310000000003E-2</v>
      </c>
    </row>
    <row r="14" spans="1:8" x14ac:dyDescent="0.2">
      <c r="A14" s="10" t="s">
        <v>14</v>
      </c>
      <c r="B14">
        <v>-0.79914504500000005</v>
      </c>
      <c r="C14">
        <f>VLOOKUP(A14,'coefs in LR model only'!A:B,2,0)</f>
        <v>-0.77668056799999996</v>
      </c>
      <c r="D14">
        <f t="shared" si="0"/>
        <v>2.2464477000000094E-2</v>
      </c>
      <c r="E14" s="6">
        <f t="shared" si="1"/>
        <v>0.44971328442661362</v>
      </c>
      <c r="F14" s="6">
        <f t="shared" si="2"/>
        <v>0.45993018718771439</v>
      </c>
      <c r="G14" s="6">
        <f>VLOOKUP(A14,'coefs in LR model only'!A:C,3,0)</f>
        <v>0.15395513</v>
      </c>
      <c r="H14">
        <f>VLOOKUP(A14,'coefs in LR model only'!A:E,5,0)</f>
        <v>4.5400000000000002E-7</v>
      </c>
    </row>
    <row r="15" spans="1:8" x14ac:dyDescent="0.2">
      <c r="A15" s="10" t="s">
        <v>15</v>
      </c>
      <c r="B15">
        <v>-0.72705491</v>
      </c>
      <c r="C15">
        <f>VLOOKUP(A15,'coefs in LR model only'!A:B,2,0)</f>
        <v>-0.66243531200000005</v>
      </c>
      <c r="D15">
        <f t="shared" si="0"/>
        <v>6.4619597999999945E-2</v>
      </c>
      <c r="E15" s="6">
        <f t="shared" si="1"/>
        <v>0.48333034742310937</v>
      </c>
      <c r="F15" s="6">
        <f t="shared" si="2"/>
        <v>0.5155941716478013</v>
      </c>
      <c r="G15" s="6">
        <f>VLOOKUP(A15,'coefs in LR model only'!A:C,3,0)</f>
        <v>4.1643821999999997E-2</v>
      </c>
      <c r="H15">
        <f>VLOOKUP(A15,'coefs in LR model only'!A:E,5,0)</f>
        <v>5.6499999999999901E-57</v>
      </c>
    </row>
    <row r="16" spans="1:8" x14ac:dyDescent="0.2">
      <c r="A16" s="10" t="s">
        <v>16</v>
      </c>
      <c r="B16">
        <v>-0.71442128000000005</v>
      </c>
      <c r="C16">
        <f>VLOOKUP(A16,'coefs in LR model only'!A:B,2,0)</f>
        <v>-0.72941109699999995</v>
      </c>
      <c r="D16">
        <f t="shared" si="0"/>
        <v>1.4989816999999905E-2</v>
      </c>
      <c r="E16" s="6">
        <f t="shared" si="1"/>
        <v>0.48947529899041309</v>
      </c>
      <c r="F16" s="6">
        <f t="shared" si="2"/>
        <v>0.4821928713212435</v>
      </c>
      <c r="G16" s="6">
        <f>VLOOKUP(A16,'coefs in LR model only'!A:C,3,0)</f>
        <v>6.0638086000000001E-2</v>
      </c>
      <c r="H16">
        <f>VLOOKUP(A16,'coefs in LR model only'!A:E,5,0)</f>
        <v>2.5000000000000001E-33</v>
      </c>
    </row>
    <row r="17" spans="1:8" x14ac:dyDescent="0.2">
      <c r="A17" s="10" t="s">
        <v>17</v>
      </c>
      <c r="B17">
        <v>-0.69707925999999998</v>
      </c>
      <c r="C17">
        <f>VLOOKUP(A17,'coefs in LR model only'!A:B,2,0)</f>
        <v>-0.78687761000000001</v>
      </c>
      <c r="D17">
        <f t="shared" si="0"/>
        <v>8.9798350000000027E-2</v>
      </c>
      <c r="E17" s="6">
        <f t="shared" si="1"/>
        <v>0.49803782053089152</v>
      </c>
      <c r="F17" s="6">
        <f t="shared" si="2"/>
        <v>0.45526409037600468</v>
      </c>
      <c r="G17" s="6">
        <f>VLOOKUP(A17,'coefs in LR model only'!A:C,3,0)</f>
        <v>0.13804994300000001</v>
      </c>
      <c r="H17">
        <f>VLOOKUP(A17,'coefs in LR model only'!A:E,5,0)</f>
        <v>1.2E-8</v>
      </c>
    </row>
    <row r="18" spans="1:8" x14ac:dyDescent="0.2">
      <c r="A18" s="10" t="s">
        <v>18</v>
      </c>
      <c r="B18">
        <v>-0.69041501100000002</v>
      </c>
      <c r="C18">
        <f>VLOOKUP(A18,'coefs in LR model only'!A:B,2,0)</f>
        <v>-0.86881017100000002</v>
      </c>
      <c r="D18">
        <f t="shared" si="0"/>
        <v>0.17839516</v>
      </c>
      <c r="E18" s="6">
        <f t="shared" si="1"/>
        <v>0.50136795266834056</v>
      </c>
      <c r="F18" s="6">
        <f t="shared" si="2"/>
        <v>0.41945032662157777</v>
      </c>
      <c r="G18" s="6">
        <f>VLOOKUP(A18,'coefs in LR model only'!A:C,3,0)</f>
        <v>0.38442490899999998</v>
      </c>
      <c r="H18">
        <f>VLOOKUP(A18,'coefs in LR model only'!A:E,5,0)</f>
        <v>2.3819656000000002E-2</v>
      </c>
    </row>
    <row r="19" spans="1:8" s="1" customFormat="1" x14ac:dyDescent="0.2">
      <c r="A19" s="11" t="s">
        <v>19</v>
      </c>
      <c r="B19" s="1">
        <v>-0.67699003999999996</v>
      </c>
      <c r="C19" s="1">
        <f>VLOOKUP(A19,'coefs in LR model only'!A:B,2,0)</f>
        <v>-0.68426372199999996</v>
      </c>
      <c r="D19" s="1">
        <f t="shared" si="0"/>
        <v>7.2736820000000035E-3</v>
      </c>
      <c r="E19" s="7">
        <f t="shared" si="1"/>
        <v>0.50814418649153259</v>
      </c>
      <c r="F19" s="7">
        <f t="shared" si="2"/>
        <v>0.50446151678940732</v>
      </c>
      <c r="G19" s="7">
        <f>VLOOKUP(A19,'coefs in LR model only'!A:C,3,0)</f>
        <v>0.34991668300000001</v>
      </c>
      <c r="H19">
        <f>VLOOKUP(A19,'coefs in LR model only'!A:E,5,0)</f>
        <v>5.0523527999999998E-2</v>
      </c>
    </row>
    <row r="20" spans="1:8" x14ac:dyDescent="0.2">
      <c r="A20" s="10" t="s">
        <v>20</v>
      </c>
      <c r="B20">
        <v>0.62750901299999995</v>
      </c>
      <c r="C20">
        <f>VLOOKUP(A20,'coefs in LR model only'!A:B,2,0)</f>
        <v>0.83810622700000004</v>
      </c>
      <c r="D20">
        <f t="shared" si="0"/>
        <v>0.21059721400000009</v>
      </c>
      <c r="E20" s="6">
        <f t="shared" si="1"/>
        <v>1.8729392961884894</v>
      </c>
      <c r="F20" s="6">
        <f t="shared" si="2"/>
        <v>2.3119844546032393</v>
      </c>
      <c r="G20" s="6">
        <f>VLOOKUP(A20,'coefs in LR model only'!A:C,3,0)</f>
        <v>0.28626557000000002</v>
      </c>
      <c r="H20">
        <f>VLOOKUP(A20,'coefs in LR model only'!A:E,5,0)</f>
        <v>3.4145439999999998E-3</v>
      </c>
    </row>
    <row r="21" spans="1:8" x14ac:dyDescent="0.2">
      <c r="A21" s="10" t="s">
        <v>21</v>
      </c>
      <c r="B21">
        <v>0.56385313599999998</v>
      </c>
      <c r="C21">
        <f>VLOOKUP(A21,'coefs in LR model only'!A:B,2,0)</f>
        <v>0.94066185199999997</v>
      </c>
      <c r="D21">
        <f t="shared" si="0"/>
        <v>0.37680871599999999</v>
      </c>
      <c r="E21" s="6">
        <f t="shared" si="1"/>
        <v>1.7574310920559391</v>
      </c>
      <c r="F21" s="6">
        <f t="shared" si="2"/>
        <v>2.5616763079721352</v>
      </c>
      <c r="G21" s="6">
        <f>VLOOKUP(A21,'coefs in LR model only'!A:C,3,0)</f>
        <v>6.8936956999999993E-2</v>
      </c>
      <c r="H21">
        <f>VLOOKUP(A21,'coefs in LR model only'!A:E,5,0)</f>
        <v>2.1499999999999899E-42</v>
      </c>
    </row>
    <row r="22" spans="1:8" x14ac:dyDescent="0.2">
      <c r="A22" s="10" t="s">
        <v>22</v>
      </c>
      <c r="B22">
        <v>0.52602162799999996</v>
      </c>
      <c r="C22">
        <f>VLOOKUP(A22,'coefs in LR model only'!A:B,2,0)</f>
        <v>0.54522733099999998</v>
      </c>
      <c r="D22">
        <f t="shared" si="0"/>
        <v>1.9205703000000018E-2</v>
      </c>
      <c r="E22" s="6">
        <f t="shared" si="1"/>
        <v>1.6921867509579833</v>
      </c>
      <c r="F22" s="6">
        <f t="shared" si="2"/>
        <v>1.7250004838913355</v>
      </c>
      <c r="G22" s="6">
        <f>VLOOKUP(A22,'coefs in LR model only'!A:C,3,0)</f>
        <v>0.113326861</v>
      </c>
      <c r="H22">
        <f>VLOOKUP(A22,'coefs in LR model only'!A:E,5,0)</f>
        <v>1.5E-6</v>
      </c>
    </row>
    <row r="23" spans="1:8" s="1" customFormat="1" x14ac:dyDescent="0.2">
      <c r="A23" s="11" t="s">
        <v>23</v>
      </c>
      <c r="B23" s="1">
        <v>-0.48711232100000001</v>
      </c>
      <c r="C23" s="1">
        <f>VLOOKUP(A23,'coefs in LR model only'!A:B,2,0)</f>
        <v>-0.32612968799999997</v>
      </c>
      <c r="D23" s="1">
        <f t="shared" si="0"/>
        <v>0.16098263300000004</v>
      </c>
      <c r="E23" s="7">
        <f t="shared" si="1"/>
        <v>0.61439801926893844</v>
      </c>
      <c r="F23" s="7">
        <f t="shared" si="2"/>
        <v>0.72171158403031832</v>
      </c>
      <c r="G23" s="7">
        <f>VLOOKUP(A23,'coefs in LR model only'!A:C,3,0)</f>
        <v>0.306449788</v>
      </c>
      <c r="H23">
        <f>VLOOKUP(A23,'coefs in LR model only'!A:E,5,0)</f>
        <v>0.28722950000000003</v>
      </c>
    </row>
    <row r="24" spans="1:8" x14ac:dyDescent="0.2">
      <c r="A24" s="10" t="s">
        <v>24</v>
      </c>
      <c r="B24">
        <v>0.45845969600000003</v>
      </c>
      <c r="C24">
        <f>VLOOKUP(A24,'coefs in LR model only'!A:B,2,0)</f>
        <v>0.68379388399999996</v>
      </c>
      <c r="D24">
        <f t="shared" si="0"/>
        <v>0.22533418799999994</v>
      </c>
      <c r="E24" s="6">
        <f t="shared" si="1"/>
        <v>1.5816359076712612</v>
      </c>
      <c r="F24" s="6">
        <f t="shared" si="2"/>
        <v>1.9813806189181593</v>
      </c>
      <c r="G24" s="6">
        <f>VLOOKUP(A24,'coefs in LR model only'!A:C,3,0)</f>
        <v>0.29573627699999999</v>
      </c>
      <c r="H24">
        <f>VLOOKUP(A24,'coefs in LR model only'!A:E,5,0)</f>
        <v>2.0768068000000001E-2</v>
      </c>
    </row>
    <row r="25" spans="1:8" x14ac:dyDescent="0.2">
      <c r="A25" s="10" t="s">
        <v>25</v>
      </c>
      <c r="B25">
        <v>-0.45370829800000001</v>
      </c>
      <c r="C25">
        <f>VLOOKUP(A25,'coefs in LR model only'!A:B,2,0)</f>
        <v>-0.27617577799999998</v>
      </c>
      <c r="D25">
        <f t="shared" si="0"/>
        <v>0.17753252000000003</v>
      </c>
      <c r="E25" s="6">
        <f t="shared" si="1"/>
        <v>0.63526801517162179</v>
      </c>
      <c r="F25" s="6">
        <f t="shared" si="2"/>
        <v>0.75867955986407631</v>
      </c>
      <c r="G25" s="6">
        <f>VLOOKUP(A25,'coefs in LR model only'!A:C,3,0)</f>
        <v>0.28927135500000001</v>
      </c>
      <c r="H25">
        <f>VLOOKUP(A25,'coefs in LR model only'!A:E,5,0)</f>
        <v>0.33971471399999997</v>
      </c>
    </row>
    <row r="26" spans="1:8" x14ac:dyDescent="0.2">
      <c r="A26" s="10" t="s">
        <v>26</v>
      </c>
      <c r="B26">
        <v>-0.44652392699999999</v>
      </c>
      <c r="C26">
        <f>VLOOKUP(A26,'coefs in LR model only'!A:B,2,0)</f>
        <v>-0.54787702000000005</v>
      </c>
      <c r="D26">
        <f t="shared" si="0"/>
        <v>0.10135309300000006</v>
      </c>
      <c r="E26" s="6">
        <f t="shared" si="1"/>
        <v>0.63984845034822235</v>
      </c>
      <c r="F26" s="6">
        <f t="shared" si="2"/>
        <v>0.57817596437860819</v>
      </c>
      <c r="G26" s="6">
        <f>VLOOKUP(A26,'coefs in LR model only'!A:C,3,0)</f>
        <v>0.142373308</v>
      </c>
      <c r="H26">
        <f>VLOOKUP(A26,'coefs in LR model only'!A:E,5,0)</f>
        <v>1.19002E-4</v>
      </c>
    </row>
    <row r="27" spans="1:8" x14ac:dyDescent="0.2">
      <c r="A27" s="10" t="s">
        <v>27</v>
      </c>
      <c r="B27">
        <v>0.43811699799999998</v>
      </c>
      <c r="C27" t="e">
        <f>VLOOKUP(A27,'coefs in LR model only'!A:B,2,0)</f>
        <v>#N/A</v>
      </c>
      <c r="D27" t="e">
        <f t="shared" si="0"/>
        <v>#N/A</v>
      </c>
      <c r="E27" s="6">
        <f t="shared" si="1"/>
        <v>1.5497862187007889</v>
      </c>
      <c r="F27" s="6" t="e">
        <f t="shared" si="2"/>
        <v>#N/A</v>
      </c>
      <c r="G27" s="8" t="e">
        <f>VLOOKUP(A27,'coefs in LR model only'!A:C,3,0)</f>
        <v>#N/A</v>
      </c>
      <c r="H27" t="e">
        <f>VLOOKUP(A27,'coefs in LR model only'!A:E,5,0)</f>
        <v>#N/A</v>
      </c>
    </row>
    <row r="28" spans="1:8" x14ac:dyDescent="0.2">
      <c r="A28" s="10" t="s">
        <v>28</v>
      </c>
      <c r="B28">
        <v>0.39403836199999998</v>
      </c>
      <c r="C28">
        <f>VLOOKUP(A28,'coefs in LR model only'!A:B,2,0)</f>
        <v>0.61198086299999999</v>
      </c>
      <c r="D28">
        <f t="shared" si="0"/>
        <v>0.21794250100000001</v>
      </c>
      <c r="E28" s="6">
        <f t="shared" si="1"/>
        <v>1.4829574367967655</v>
      </c>
      <c r="F28" s="6">
        <f t="shared" si="2"/>
        <v>1.8440806543879751</v>
      </c>
      <c r="G28" s="6">
        <f>VLOOKUP(A28,'coefs in LR model only'!A:C,3,0)</f>
        <v>0.28880947200000001</v>
      </c>
      <c r="H28">
        <f>VLOOKUP(A28,'coefs in LR model only'!A:E,5,0)</f>
        <v>3.4092341999999998E-2</v>
      </c>
    </row>
    <row r="29" spans="1:8" x14ac:dyDescent="0.2">
      <c r="A29" s="10" t="s">
        <v>29</v>
      </c>
      <c r="B29">
        <v>-0.38557933700000002</v>
      </c>
      <c r="C29">
        <f>VLOOKUP(A29,'coefs in LR model only'!A:B,2,0)</f>
        <v>-0.46066534799999997</v>
      </c>
      <c r="D29">
        <f t="shared" si="0"/>
        <v>7.5086010999999953E-2</v>
      </c>
      <c r="E29" s="6">
        <f t="shared" si="1"/>
        <v>0.68005654014259853</v>
      </c>
      <c r="F29" s="6">
        <f t="shared" si="2"/>
        <v>0.63086376189580551</v>
      </c>
      <c r="G29" s="6">
        <f>VLOOKUP(A29,'coefs in LR model only'!A:C,3,0)</f>
        <v>3.4574464999999999E-2</v>
      </c>
      <c r="H29">
        <f>VLOOKUP(A29,'coefs in LR model only'!A:E,5,0)</f>
        <v>1.6799999999999899E-40</v>
      </c>
    </row>
    <row r="30" spans="1:8" x14ac:dyDescent="0.2">
      <c r="A30" s="10" t="s">
        <v>30</v>
      </c>
      <c r="B30">
        <v>0.37640437300000001</v>
      </c>
      <c r="C30" t="e">
        <f>VLOOKUP(A30,'coefs in LR model only'!A:B,2,0)</f>
        <v>#N/A</v>
      </c>
      <c r="D30" t="e">
        <f t="shared" si="0"/>
        <v>#N/A</v>
      </c>
      <c r="E30" s="6">
        <f t="shared" si="1"/>
        <v>1.4570362007612767</v>
      </c>
      <c r="F30" s="6" t="e">
        <f t="shared" si="2"/>
        <v>#N/A</v>
      </c>
      <c r="G30" s="6" t="e">
        <f>VLOOKUP(A30,'coefs in LR model only'!A:C,3,0)</f>
        <v>#N/A</v>
      </c>
      <c r="H30" t="e">
        <f>VLOOKUP(A30,'coefs in LR model only'!A:E,5,0)</f>
        <v>#N/A</v>
      </c>
    </row>
    <row r="31" spans="1:8" x14ac:dyDescent="0.2">
      <c r="A31" s="10" t="s">
        <v>31</v>
      </c>
      <c r="B31">
        <v>-0.34823717100000001</v>
      </c>
      <c r="C31">
        <f>VLOOKUP(A31,'coefs in LR model only'!A:B,2,0)</f>
        <v>-0.431604137</v>
      </c>
      <c r="D31">
        <f t="shared" si="0"/>
        <v>8.3366965999999987E-2</v>
      </c>
      <c r="E31" s="6">
        <f t="shared" si="1"/>
        <v>0.70593142989530411</v>
      </c>
      <c r="F31" s="6">
        <f t="shared" si="2"/>
        <v>0.64946642553133704</v>
      </c>
      <c r="G31" s="6">
        <f>VLOOKUP(A31,'coefs in LR model only'!A:C,3,0)</f>
        <v>0.124897023</v>
      </c>
      <c r="H31">
        <f>VLOOKUP(A31,'coefs in LR model only'!A:E,5,0)</f>
        <v>5.4890699999999995E-4</v>
      </c>
    </row>
    <row r="32" spans="1:8" x14ac:dyDescent="0.2">
      <c r="A32" s="10" t="s">
        <v>32</v>
      </c>
      <c r="B32">
        <v>0.34735234700000001</v>
      </c>
      <c r="C32">
        <f>VLOOKUP(A32,'coefs in LR model only'!A:B,2,0)</f>
        <v>0.313554571</v>
      </c>
      <c r="D32">
        <f t="shared" si="0"/>
        <v>3.3797776000000002E-2</v>
      </c>
      <c r="E32" s="6">
        <f t="shared" si="1"/>
        <v>1.4153153196331008</v>
      </c>
      <c r="F32" s="6">
        <f t="shared" si="2"/>
        <v>1.3682801291394033</v>
      </c>
      <c r="G32" s="6">
        <f>VLOOKUP(A32,'coefs in LR model only'!A:C,3,0)</f>
        <v>0.143474883</v>
      </c>
      <c r="H32">
        <f>VLOOKUP(A32,'coefs in LR model only'!A:E,5,0)</f>
        <v>2.8857201999999998E-2</v>
      </c>
    </row>
    <row r="33" spans="1:8" x14ac:dyDescent="0.2">
      <c r="A33" s="10" t="s">
        <v>69</v>
      </c>
      <c r="B33" t="e">
        <v>#N/A</v>
      </c>
      <c r="C33">
        <v>0.34572238700000002</v>
      </c>
      <c r="D33" t="e">
        <v>#N/A</v>
      </c>
      <c r="E33" s="6" t="e">
        <f t="shared" si="1"/>
        <v>#N/A</v>
      </c>
      <c r="F33" s="6">
        <f t="shared" si="2"/>
        <v>1.4130102913369997</v>
      </c>
      <c r="G33" s="6">
        <f>VLOOKUP(A33,'coefs in LR model only'!A:C,3,0)</f>
        <v>5.9881539999999997E-2</v>
      </c>
      <c r="H33">
        <f>VLOOKUP(A33,'coefs in LR model only'!A:E,5,0)</f>
        <v>7.7699999999999994E-9</v>
      </c>
    </row>
    <row r="34" spans="1:8" x14ac:dyDescent="0.2">
      <c r="A34" s="10" t="s">
        <v>33</v>
      </c>
      <c r="B34">
        <v>-0.33151309099999998</v>
      </c>
      <c r="C34">
        <f>VLOOKUP(A34,'coefs in LR model only'!A:B,2,0)</f>
        <v>-0.44928948600000002</v>
      </c>
      <c r="D34">
        <f t="shared" si="0"/>
        <v>0.11777639500000003</v>
      </c>
      <c r="E34" s="6">
        <f t="shared" si="1"/>
        <v>0.71783675895421428</v>
      </c>
      <c r="F34" s="6">
        <f t="shared" si="2"/>
        <v>0.63808135633537566</v>
      </c>
      <c r="G34" s="6">
        <f>VLOOKUP(A34,'coefs in LR model only'!A:C,3,0)</f>
        <v>3.5941157000000001E-2</v>
      </c>
      <c r="H34">
        <f>VLOOKUP(A34,'coefs in LR model only'!A:E,5,0)</f>
        <v>7.4E-36</v>
      </c>
    </row>
    <row r="35" spans="1:8" x14ac:dyDescent="0.2">
      <c r="A35" s="10" t="s">
        <v>34</v>
      </c>
      <c r="B35">
        <v>-0.32713343700000003</v>
      </c>
      <c r="C35" t="e">
        <f>VLOOKUP(A35,'coefs in LR model only'!A:B,2,0)</f>
        <v>#N/A</v>
      </c>
      <c r="D35" t="e">
        <f t="shared" si="0"/>
        <v>#N/A</v>
      </c>
      <c r="E35" s="6">
        <f t="shared" si="1"/>
        <v>0.72098753019450734</v>
      </c>
      <c r="F35" s="6" t="e">
        <f t="shared" si="2"/>
        <v>#N/A</v>
      </c>
      <c r="G35" s="6" t="e">
        <f>VLOOKUP(A35,'coefs in LR model only'!A:C,3,0)</f>
        <v>#N/A</v>
      </c>
      <c r="H35" t="e">
        <f>VLOOKUP(A35,'coefs in LR model only'!A:E,5,0)</f>
        <v>#N/A</v>
      </c>
    </row>
    <row r="36" spans="1:8" s="1" customFormat="1" x14ac:dyDescent="0.2">
      <c r="A36" s="11" t="s">
        <v>35</v>
      </c>
      <c r="B36" s="1">
        <v>0.318648877</v>
      </c>
      <c r="C36" s="1">
        <f>VLOOKUP(A36,'coefs in LR model only'!A:B,2,0)</f>
        <v>0.53603617199999998</v>
      </c>
      <c r="D36" s="1">
        <f t="shared" si="0"/>
        <v>0.21738729499999998</v>
      </c>
      <c r="E36" s="7">
        <f t="shared" si="1"/>
        <v>1.3752683517700346</v>
      </c>
      <c r="F36" s="7">
        <f t="shared" si="2"/>
        <v>1.7092183692339158</v>
      </c>
      <c r="G36" s="7">
        <f>VLOOKUP(A36,'coefs in LR model only'!A:C,3,0)</f>
        <v>0.28653255999999999</v>
      </c>
      <c r="H36">
        <f>VLOOKUP(A36,'coefs in LR model only'!A:E,5,0)</f>
        <v>6.1377134999999999E-2</v>
      </c>
    </row>
    <row r="37" spans="1:8" x14ac:dyDescent="0.2">
      <c r="A37" s="10" t="s">
        <v>36</v>
      </c>
      <c r="B37">
        <v>0.316638329</v>
      </c>
      <c r="C37">
        <f>VLOOKUP(A37,'coefs in LR model only'!A:B,2,0)</f>
        <v>0.30437223600000002</v>
      </c>
      <c r="D37">
        <f t="shared" si="0"/>
        <v>1.2266092999999978E-2</v>
      </c>
      <c r="E37" s="6">
        <f t="shared" si="1"/>
        <v>1.3725060864998702</v>
      </c>
      <c r="F37" s="6">
        <f t="shared" si="2"/>
        <v>1.3557736299264815</v>
      </c>
      <c r="G37" s="6">
        <f>VLOOKUP(A37,'coefs in LR model only'!A:C,3,0)</f>
        <v>2.7324208999999999E-2</v>
      </c>
      <c r="H37">
        <f>VLOOKUP(A37,'coefs in LR model only'!A:E,5,0)</f>
        <v>8.0799999999999996E-29</v>
      </c>
    </row>
    <row r="38" spans="1:8" x14ac:dyDescent="0.2">
      <c r="A38" s="10" t="s">
        <v>37</v>
      </c>
      <c r="B38">
        <v>0.31079713199999998</v>
      </c>
      <c r="C38" t="e">
        <f>VLOOKUP(A38,'coefs in LR model only'!A:B,2,0)</f>
        <v>#N/A</v>
      </c>
      <c r="D38" t="e">
        <f t="shared" si="0"/>
        <v>#N/A</v>
      </c>
      <c r="E38" s="6">
        <f t="shared" si="1"/>
        <v>1.3645123772087793</v>
      </c>
      <c r="F38" s="6" t="e">
        <f t="shared" si="2"/>
        <v>#N/A</v>
      </c>
      <c r="G38" s="6" t="e">
        <f>VLOOKUP(A38,'coefs in LR model only'!A:C,3,0)</f>
        <v>#N/A</v>
      </c>
      <c r="H38" t="e">
        <f>VLOOKUP(A38,'coefs in LR model only'!A:E,5,0)</f>
        <v>#N/A</v>
      </c>
    </row>
    <row r="39" spans="1:8" x14ac:dyDescent="0.2">
      <c r="A39" s="10" t="s">
        <v>38</v>
      </c>
      <c r="B39">
        <v>0.28457063700000002</v>
      </c>
      <c r="C39">
        <f>VLOOKUP(A39,'coefs in LR model only'!A:B,2,0)</f>
        <v>0.359348469</v>
      </c>
      <c r="D39">
        <f t="shared" si="0"/>
        <v>7.4777831999999989E-2</v>
      </c>
      <c r="E39" s="6">
        <f t="shared" si="1"/>
        <v>1.3291912000627868</v>
      </c>
      <c r="F39" s="6">
        <f t="shared" si="2"/>
        <v>1.4323958601663802</v>
      </c>
      <c r="G39" s="6">
        <f>VLOOKUP(A39,'coefs in LR model only'!A:C,3,0)</f>
        <v>3.9334256999999997E-2</v>
      </c>
      <c r="H39">
        <f>VLOOKUP(A39,'coefs in LR model only'!A:E,5,0)</f>
        <v>6.49E-20</v>
      </c>
    </row>
    <row r="40" spans="1:8" x14ac:dyDescent="0.2">
      <c r="A40" s="10" t="s">
        <v>39</v>
      </c>
      <c r="B40">
        <v>0.28359375100000001</v>
      </c>
      <c r="C40" t="e">
        <f>VLOOKUP(A40,'coefs in LR model only'!A:B,2,0)</f>
        <v>#N/A</v>
      </c>
      <c r="D40" t="e">
        <f t="shared" si="0"/>
        <v>#N/A</v>
      </c>
      <c r="E40" s="6">
        <f t="shared" si="1"/>
        <v>1.3278933658093894</v>
      </c>
      <c r="F40" s="6" t="e">
        <f t="shared" si="2"/>
        <v>#N/A</v>
      </c>
      <c r="G40" s="6" t="e">
        <f>VLOOKUP(A40,'coefs in LR model only'!A:C,3,0)</f>
        <v>#N/A</v>
      </c>
      <c r="H40" t="e">
        <f>VLOOKUP(A40,'coefs in LR model only'!A:E,5,0)</f>
        <v>#N/A</v>
      </c>
    </row>
    <row r="41" spans="1:8" s="1" customFormat="1" x14ac:dyDescent="0.2">
      <c r="A41" s="11" t="s">
        <v>40</v>
      </c>
      <c r="B41" s="1">
        <v>-0.270379486</v>
      </c>
      <c r="C41" s="1">
        <f>VLOOKUP(A41,'coefs in LR model only'!A:B,2,0)</f>
        <v>-0.10507757299999999</v>
      </c>
      <c r="D41" s="1">
        <f t="shared" si="0"/>
        <v>0.16530191300000002</v>
      </c>
      <c r="E41" s="7">
        <f t="shared" si="1"/>
        <v>0.76308985746610991</v>
      </c>
      <c r="F41" s="7">
        <f t="shared" si="2"/>
        <v>0.90025468442088807</v>
      </c>
      <c r="G41" s="7">
        <f>VLOOKUP(A41,'coefs in LR model only'!A:C,3,0)</f>
        <v>0.29469323400000003</v>
      </c>
      <c r="H41">
        <f>VLOOKUP(A41,'coefs in LR model only'!A:E,5,0)</f>
        <v>0.72141677100000001</v>
      </c>
    </row>
    <row r="42" spans="1:8" x14ac:dyDescent="0.2">
      <c r="A42" s="10" t="s">
        <v>41</v>
      </c>
      <c r="B42">
        <v>-0.260479562</v>
      </c>
      <c r="C42">
        <f>VLOOKUP(A42,'coefs in LR model only'!A:B,2,0)</f>
        <v>-0.257819823</v>
      </c>
      <c r="D42">
        <f t="shared" si="0"/>
        <v>2.6597389999999943E-3</v>
      </c>
      <c r="E42" s="6">
        <f t="shared" si="1"/>
        <v>0.77068190741191445</v>
      </c>
      <c r="F42" s="6">
        <f t="shared" si="2"/>
        <v>0.77273444853948636</v>
      </c>
      <c r="G42" s="6">
        <f>VLOOKUP(A42,'coefs in LR model only'!A:C,3,0)</f>
        <v>2.8400180000000001E-2</v>
      </c>
      <c r="H42">
        <f>VLOOKUP(A42,'coefs in LR model only'!A:E,5,0)</f>
        <v>1.0999999999999999E-19</v>
      </c>
    </row>
    <row r="43" spans="1:8" x14ac:dyDescent="0.2">
      <c r="A43" s="10" t="s">
        <v>42</v>
      </c>
      <c r="B43">
        <v>-0.257720332</v>
      </c>
      <c r="C43" t="e">
        <f>VLOOKUP(A43,'coefs in LR model only'!A:B,2,0)</f>
        <v>#N/A</v>
      </c>
      <c r="D43" t="e">
        <f t="shared" si="0"/>
        <v>#N/A</v>
      </c>
      <c r="E43" s="6">
        <f t="shared" si="1"/>
        <v>0.77281133248707301</v>
      </c>
      <c r="F43" s="6" t="e">
        <f t="shared" si="2"/>
        <v>#N/A</v>
      </c>
      <c r="G43" s="6" t="e">
        <f>VLOOKUP(A43,'coefs in LR model only'!A:C,3,0)</f>
        <v>#N/A</v>
      </c>
      <c r="H43" t="e">
        <f>VLOOKUP(A43,'coefs in LR model only'!A:E,5,0)</f>
        <v>#N/A</v>
      </c>
    </row>
    <row r="44" spans="1:8" x14ac:dyDescent="0.2">
      <c r="A44" s="10" t="s">
        <v>43</v>
      </c>
      <c r="B44">
        <v>-0.20148785299999999</v>
      </c>
      <c r="C44" t="e">
        <f>VLOOKUP(A44,'coefs in LR model only'!A:B,2,0)</f>
        <v>#N/A</v>
      </c>
      <c r="D44" t="e">
        <f t="shared" si="0"/>
        <v>#N/A</v>
      </c>
      <c r="E44" s="6">
        <f t="shared" si="1"/>
        <v>0.81751350783636678</v>
      </c>
      <c r="F44" s="6" t="e">
        <f t="shared" si="2"/>
        <v>#N/A</v>
      </c>
      <c r="G44" s="6" t="e">
        <f>VLOOKUP(A44,'coefs in LR model only'!A:C,3,0)</f>
        <v>#N/A</v>
      </c>
      <c r="H44" t="e">
        <f>VLOOKUP(A44,'coefs in LR model only'!A:E,5,0)</f>
        <v>#N/A</v>
      </c>
    </row>
    <row r="45" spans="1:8" s="1" customFormat="1" x14ac:dyDescent="0.2">
      <c r="A45" s="11" t="s">
        <v>44</v>
      </c>
      <c r="B45" s="1">
        <v>0.19314645899999999</v>
      </c>
      <c r="C45" s="1">
        <f>VLOOKUP(A45,'coefs in LR model only'!A:B,2,0)</f>
        <v>0.38654796000000002</v>
      </c>
      <c r="D45" s="1">
        <f t="shared" si="0"/>
        <v>0.19340150100000003</v>
      </c>
      <c r="E45" s="7">
        <f t="shared" si="1"/>
        <v>1.2130604441291233</v>
      </c>
      <c r="F45" s="7">
        <f t="shared" si="2"/>
        <v>1.4718909872653685</v>
      </c>
      <c r="G45" s="7">
        <f>VLOOKUP(A45,'coefs in LR model only'!A:C,3,0)</f>
        <v>0.28596958099999997</v>
      </c>
      <c r="H45">
        <f>VLOOKUP(A45,'coefs in LR model only'!A:E,5,0)</f>
        <v>0.176468086</v>
      </c>
    </row>
    <row r="46" spans="1:8" s="1" customFormat="1" x14ac:dyDescent="0.2">
      <c r="A46" s="11" t="s">
        <v>45</v>
      </c>
      <c r="B46" s="1">
        <v>0.19262441</v>
      </c>
      <c r="C46" s="1">
        <f>VLOOKUP(A46,'coefs in LR model only'!A:B,2,0)</f>
        <v>0.12771959899999999</v>
      </c>
      <c r="D46" s="1">
        <f t="shared" si="0"/>
        <v>6.4904811000000007E-2</v>
      </c>
      <c r="E46" s="7">
        <f t="shared" si="1"/>
        <v>1.2124273324093751</v>
      </c>
      <c r="F46" s="7">
        <f t="shared" si="2"/>
        <v>1.1362343567749564</v>
      </c>
      <c r="G46" s="7">
        <f>VLOOKUP(A46,'coefs in LR model only'!A:C,3,0)</f>
        <v>0.130488242</v>
      </c>
      <c r="H46">
        <f>VLOOKUP(A46,'coefs in LR model only'!A:E,5,0)</f>
        <v>0.327687491</v>
      </c>
    </row>
    <row r="47" spans="1:8" s="1" customFormat="1" x14ac:dyDescent="0.2">
      <c r="A47" s="11" t="s">
        <v>70</v>
      </c>
      <c r="B47" s="1" t="e">
        <v>#N/A</v>
      </c>
      <c r="C47" s="1">
        <v>0.190845711</v>
      </c>
      <c r="D47" s="1" t="e">
        <f t="shared" ref="D47" si="3">ABS(C47-B47)</f>
        <v>#N/A</v>
      </c>
      <c r="E47" s="7" t="e">
        <f t="shared" ref="E47" si="4">EXP(B47)</f>
        <v>#N/A</v>
      </c>
      <c r="F47" s="7">
        <f t="shared" ref="F47" si="5">EXP(C47)</f>
        <v>1.2102727059097078</v>
      </c>
      <c r="G47" s="7">
        <f>VLOOKUP(A47,'coefs in LR model only'!A:C,3,0)</f>
        <v>0.28591072699999998</v>
      </c>
      <c r="H47">
        <f>VLOOKUP(A47,'coefs in LR model only'!A:E,5,0)</f>
        <v>0.50445213799999999</v>
      </c>
    </row>
    <row r="48" spans="1:8" s="1" customFormat="1" x14ac:dyDescent="0.2">
      <c r="A48" s="11" t="s">
        <v>46</v>
      </c>
      <c r="B48" s="1">
        <v>-0.15784566799999999</v>
      </c>
      <c r="C48" s="1">
        <f>VLOOKUP(A48,'coefs in LR model only'!A:B,2,0)</f>
        <v>-0.21703849</v>
      </c>
      <c r="D48" s="1">
        <f t="shared" si="0"/>
        <v>5.9192822000000006E-2</v>
      </c>
      <c r="E48" s="7">
        <f t="shared" si="1"/>
        <v>0.85398156848220907</v>
      </c>
      <c r="F48" s="7">
        <f>EXP(C48)</f>
        <v>0.80489898814671912</v>
      </c>
      <c r="G48" s="7">
        <f>VLOOKUP(A48,'coefs in LR model only'!A:C,3,0)</f>
        <v>0.13853153400000001</v>
      </c>
      <c r="H48">
        <f>VLOOKUP(A48,'coefs in LR model only'!A:E,5,0)</f>
        <v>0.117182914</v>
      </c>
    </row>
    <row r="49" spans="1:8" x14ac:dyDescent="0.2">
      <c r="A49" s="10" t="s">
        <v>47</v>
      </c>
      <c r="B49">
        <v>0.14914844299999999</v>
      </c>
      <c r="C49" t="e">
        <f>VLOOKUP(A49,'coefs in LR model only'!A:B,2,0)</f>
        <v>#N/A</v>
      </c>
      <c r="D49" t="e">
        <f t="shared" si="0"/>
        <v>#N/A</v>
      </c>
      <c r="E49" s="6">
        <f t="shared" si="1"/>
        <v>1.1608452957781583</v>
      </c>
      <c r="F49" s="6" t="e">
        <f>EXP(C49)</f>
        <v>#N/A</v>
      </c>
      <c r="G49" s="6" t="e">
        <f>VLOOKUP(A49,'coefs in LR model only'!A:C,3,0)</f>
        <v>#N/A</v>
      </c>
      <c r="H49" t="e">
        <f>VLOOKUP(A49,'coefs in LR model only'!A:E,5,0)</f>
        <v>#N/A</v>
      </c>
    </row>
    <row r="50" spans="1:8" x14ac:dyDescent="0.2">
      <c r="A50" s="10" t="s">
        <v>48</v>
      </c>
      <c r="B50">
        <v>-0.14573988299999999</v>
      </c>
      <c r="C50" t="e">
        <f>VLOOKUP(A50,'coefs in LR model only'!A:B,2,0)</f>
        <v>#N/A</v>
      </c>
      <c r="D50" t="e">
        <f t="shared" ref="D50" si="6">ABS(C50-B50)</f>
        <v>#N/A</v>
      </c>
      <c r="E50" s="6">
        <f t="shared" ref="E50" si="7">EXP(B50)</f>
        <v>0.86438251453128101</v>
      </c>
      <c r="F50" s="6" t="e">
        <f t="shared" ref="F50" si="8">EXP(C50)</f>
        <v>#N/A</v>
      </c>
      <c r="G50" s="6" t="e">
        <f>VLOOKUP(A50,'coefs in LR model only'!A:C,3,0)</f>
        <v>#N/A</v>
      </c>
      <c r="H50" t="e">
        <f>VLOOKUP(A50,'coefs in LR model only'!A:E,5,0)</f>
        <v>#N/A</v>
      </c>
    </row>
    <row r="51" spans="1:8" x14ac:dyDescent="0.2">
      <c r="A51" s="10" t="s">
        <v>49</v>
      </c>
      <c r="B51">
        <v>0.115407044</v>
      </c>
      <c r="C51" t="e">
        <f>VLOOKUP(A51,'coefs in LR model only'!A:B,2,0)</f>
        <v>#N/A</v>
      </c>
      <c r="D51" t="e">
        <f t="shared" si="0"/>
        <v>#N/A</v>
      </c>
      <c r="E51" s="6">
        <f t="shared" si="1"/>
        <v>1.1223301823747709</v>
      </c>
      <c r="F51" s="6" t="e">
        <f>EXP(C51)</f>
        <v>#N/A</v>
      </c>
      <c r="G51" s="6" t="e">
        <f>VLOOKUP(A51,'coefs in LR model only'!A:C,3,0)</f>
        <v>#N/A</v>
      </c>
      <c r="H51" t="e">
        <f>VLOOKUP(A51,'coefs in LR model only'!A:E,5,0)</f>
        <v>#N/A</v>
      </c>
    </row>
    <row r="52" spans="1:8" s="1" customFormat="1" x14ac:dyDescent="0.2">
      <c r="A52" s="11" t="s">
        <v>50</v>
      </c>
      <c r="B52" s="1">
        <v>-0.111610634</v>
      </c>
      <c r="C52" s="1">
        <f>VLOOKUP(A52,'coefs in LR model only'!A:B,2,0)</f>
        <v>-0.147375798</v>
      </c>
      <c r="D52" s="1">
        <f t="shared" si="0"/>
        <v>3.5765164000000002E-2</v>
      </c>
      <c r="E52" s="7">
        <f t="shared" si="1"/>
        <v>0.89439243571670402</v>
      </c>
      <c r="F52" s="7">
        <f>EXP(C52)</f>
        <v>0.86296961421753238</v>
      </c>
      <c r="G52" s="7">
        <f>VLOOKUP(A52,'coefs in LR model only'!A:C,3,0)</f>
        <v>0.41271376399999998</v>
      </c>
      <c r="H52">
        <f>VLOOKUP(A52,'coefs in LR model only'!A:E,5,0)</f>
        <v>0.72102472100000004</v>
      </c>
    </row>
    <row r="53" spans="1:8" s="1" customFormat="1" x14ac:dyDescent="0.2">
      <c r="A53" s="11" t="s">
        <v>71</v>
      </c>
      <c r="B53" s="1" t="e">
        <v>#N/A</v>
      </c>
      <c r="C53" s="1">
        <v>-9.6812678999999999E-2</v>
      </c>
      <c r="D53" s="1" t="e">
        <f t="shared" ref="D53" si="9">ABS(C53-B53)</f>
        <v>#N/A</v>
      </c>
      <c r="E53" s="7" t="e">
        <f t="shared" ref="E53" si="10">EXP(B53)</f>
        <v>#N/A</v>
      </c>
      <c r="F53" s="7">
        <f t="shared" ref="F53" si="11">EXP(C53)</f>
        <v>0.90772602635557942</v>
      </c>
      <c r="G53" s="7">
        <f>VLOOKUP(A53,'coefs in LR model only'!A:C,3,0)</f>
        <v>0.152459868</v>
      </c>
      <c r="H53">
        <f>VLOOKUP(A53,'coefs in LR model only'!A:E,5,0)</f>
        <v>0.525425578</v>
      </c>
    </row>
    <row r="54" spans="1:8" s="1" customFormat="1" x14ac:dyDescent="0.2">
      <c r="A54" s="11" t="s">
        <v>51</v>
      </c>
      <c r="B54" s="1">
        <v>-9.1066867999999995E-2</v>
      </c>
      <c r="C54" s="1">
        <f>VLOOKUP(A54,'coefs in LR model only'!A:B,2,0)</f>
        <v>-0.17966203</v>
      </c>
      <c r="D54" s="1">
        <f t="shared" si="0"/>
        <v>8.8595162000000005E-2</v>
      </c>
      <c r="E54" s="7">
        <f t="shared" si="1"/>
        <v>0.91295666127212938</v>
      </c>
      <c r="F54" s="7">
        <f t="shared" ref="F54:F64" si="12">EXP(C54)</f>
        <v>0.835552555393833</v>
      </c>
      <c r="G54" s="7">
        <f>VLOOKUP(A54,'coefs in LR model only'!A:C,3,0)</f>
        <v>0.32133557400000001</v>
      </c>
      <c r="H54">
        <f>VLOOKUP(A54,'coefs in LR model only'!A:E,5,0)</f>
        <v>0.57608644399999998</v>
      </c>
    </row>
    <row r="55" spans="1:8" x14ac:dyDescent="0.2">
      <c r="A55" s="10" t="s">
        <v>52</v>
      </c>
      <c r="B55">
        <v>8.4430137000000002E-2</v>
      </c>
      <c r="C55" t="e">
        <f>VLOOKUP(A55,'coefs in LR model only'!A:B,2,0)</f>
        <v>#N/A</v>
      </c>
      <c r="D55" t="e">
        <f t="shared" si="0"/>
        <v>#N/A</v>
      </c>
      <c r="E55" s="6">
        <f t="shared" si="1"/>
        <v>1.0880968238681237</v>
      </c>
      <c r="F55" s="6" t="e">
        <f t="shared" si="12"/>
        <v>#N/A</v>
      </c>
      <c r="G55" s="6" t="e">
        <f>VLOOKUP(A55,'coefs in LR model only'!A:C,3,0)</f>
        <v>#N/A</v>
      </c>
      <c r="H55" t="e">
        <f>VLOOKUP(A55,'coefs in LR model only'!A:E,5,0)</f>
        <v>#N/A</v>
      </c>
    </row>
    <row r="56" spans="1:8" s="1" customFormat="1" x14ac:dyDescent="0.2">
      <c r="A56" s="11" t="s">
        <v>53</v>
      </c>
      <c r="B56" s="1">
        <v>7.4949177000000006E-2</v>
      </c>
      <c r="C56" s="1">
        <f>VLOOKUP(A56,'coefs in LR model only'!A:B,2,0)</f>
        <v>4.2195458999999998E-2</v>
      </c>
      <c r="D56" s="1">
        <f t="shared" si="0"/>
        <v>3.2753718000000008E-2</v>
      </c>
      <c r="E56" s="7">
        <f t="shared" si="1"/>
        <v>1.0778293709704827</v>
      </c>
      <c r="F56" s="7">
        <f t="shared" si="12"/>
        <v>1.0430983417854689</v>
      </c>
      <c r="G56" s="7">
        <f>VLOOKUP(A56,'coefs in LR model only'!A:C,3,0)</f>
        <v>0.13021893600000001</v>
      </c>
      <c r="H56">
        <f>VLOOKUP(A56,'coefs in LR model only'!A:E,5,0)</f>
        <v>0.74591173200000005</v>
      </c>
    </row>
    <row r="57" spans="1:8" s="1" customFormat="1" x14ac:dyDescent="0.2">
      <c r="A57" s="11" t="s">
        <v>54</v>
      </c>
      <c r="B57" s="1">
        <v>-7.4279569000000004E-2</v>
      </c>
      <c r="C57" s="1">
        <f>VLOOKUP(A57,'coefs in LR model only'!A:B,2,0)</f>
        <v>1.0412556E-2</v>
      </c>
      <c r="D57" s="1">
        <f t="shared" si="0"/>
        <v>8.4692125000000007E-2</v>
      </c>
      <c r="E57" s="7">
        <f t="shared" si="1"/>
        <v>0.92841210231307447</v>
      </c>
      <c r="F57" s="7">
        <f t="shared" si="12"/>
        <v>1.0104669553092296</v>
      </c>
      <c r="G57" s="7">
        <f>VLOOKUP(A57,'coefs in LR model only'!A:C,3,0)</f>
        <v>0.16837828899999999</v>
      </c>
      <c r="H57">
        <f>VLOOKUP(A57,'coefs in LR model only'!A:E,5,0)</f>
        <v>0.95069004800000001</v>
      </c>
    </row>
    <row r="58" spans="1:8" s="1" customFormat="1" x14ac:dyDescent="0.2">
      <c r="A58" s="11" t="s">
        <v>55</v>
      </c>
      <c r="B58" s="1">
        <v>-6.9716231000000004E-2</v>
      </c>
      <c r="C58" s="1">
        <f>VLOOKUP(A58,'coefs in LR model only'!A:B,2,0)</f>
        <v>-0.17044333</v>
      </c>
      <c r="D58" s="1">
        <f t="shared" si="0"/>
        <v>0.100727099</v>
      </c>
      <c r="E58" s="7">
        <f t="shared" si="1"/>
        <v>0.93265844191181435</v>
      </c>
      <c r="F58" s="7">
        <f t="shared" si="12"/>
        <v>0.84329087756856114</v>
      </c>
      <c r="G58" s="7">
        <f>VLOOKUP(A58,'coefs in LR model only'!A:C,3,0)</f>
        <v>0.12878943800000001</v>
      </c>
      <c r="H58">
        <f>VLOOKUP(A58,'coefs in LR model only'!A:E,5,0)</f>
        <v>0.18569364999999999</v>
      </c>
    </row>
    <row r="59" spans="1:8" x14ac:dyDescent="0.2">
      <c r="A59" s="10" t="s">
        <v>56</v>
      </c>
      <c r="B59">
        <v>-4.4760102000000003E-2</v>
      </c>
      <c r="C59" t="e">
        <f>VLOOKUP(A59,'coefs in LR model only'!A:B,2,0)</f>
        <v>#N/A</v>
      </c>
      <c r="D59" t="e">
        <f t="shared" si="0"/>
        <v>#N/A</v>
      </c>
      <c r="E59" s="6">
        <f t="shared" si="1"/>
        <v>0.95622685122852624</v>
      </c>
      <c r="F59" s="6" t="e">
        <f t="shared" si="12"/>
        <v>#N/A</v>
      </c>
      <c r="G59" s="6" t="e">
        <f>VLOOKUP(A59,'coefs in LR model only'!A:C,3,0)</f>
        <v>#N/A</v>
      </c>
      <c r="H59" t="e">
        <f>VLOOKUP(A59,'coefs in LR model only'!A:E,5,0)</f>
        <v>#N/A</v>
      </c>
    </row>
    <row r="60" spans="1:8" s="1" customFormat="1" x14ac:dyDescent="0.2">
      <c r="A60" s="11" t="s">
        <v>57</v>
      </c>
      <c r="B60" s="1">
        <v>4.0288332000000003E-2</v>
      </c>
      <c r="C60" s="1">
        <f>VLOOKUP(A60,'coefs in LR model only'!A:B,2,0)</f>
        <v>7.9947005000000002E-2</v>
      </c>
      <c r="D60" s="1">
        <f t="shared" si="0"/>
        <v>3.9658672999999998E-2</v>
      </c>
      <c r="E60" s="7">
        <f t="shared" si="1"/>
        <v>1.041110916512771</v>
      </c>
      <c r="F60" s="7">
        <f t="shared" si="12"/>
        <v>1.0832296603979699</v>
      </c>
      <c r="G60" s="7">
        <f>VLOOKUP(A60,'coefs in LR model only'!A:C,3,0)</f>
        <v>0.15227032700000001</v>
      </c>
      <c r="H60">
        <f>VLOOKUP(A60,'coefs in LR model only'!A:E,5,0)</f>
        <v>0.59955998600000004</v>
      </c>
    </row>
    <row r="61" spans="1:8" s="1" customFormat="1" x14ac:dyDescent="0.2">
      <c r="A61" s="11" t="s">
        <v>58</v>
      </c>
      <c r="B61" s="1">
        <v>3.3924243999999999E-2</v>
      </c>
      <c r="C61" s="1">
        <f>VLOOKUP(A61,'coefs in LR model only'!A:B,2,0)</f>
        <v>-4.3586280999999998E-2</v>
      </c>
      <c r="D61" s="1">
        <f t="shared" si="0"/>
        <v>7.7510524999999997E-2</v>
      </c>
      <c r="E61" s="7">
        <f t="shared" si="1"/>
        <v>1.0345062337053015</v>
      </c>
      <c r="F61" s="7">
        <f t="shared" si="12"/>
        <v>0.95734994941642559</v>
      </c>
      <c r="G61" s="7">
        <f>VLOOKUP(A61,'coefs in LR model only'!A:C,3,0)</f>
        <v>0.129745213</v>
      </c>
      <c r="H61">
        <f>VLOOKUP(A61,'coefs in LR model only'!A:E,5,0)</f>
        <v>0.73691800500000004</v>
      </c>
    </row>
    <row r="62" spans="1:8" x14ac:dyDescent="0.2">
      <c r="A62" s="10" t="s">
        <v>59</v>
      </c>
      <c r="B62">
        <v>3.0155746000000001E-2</v>
      </c>
      <c r="C62" t="e">
        <f>VLOOKUP(A62,'coefs in LR model only'!A:B,2,0)</f>
        <v>#N/A</v>
      </c>
      <c r="D62" t="e">
        <f t="shared" si="0"/>
        <v>#N/A</v>
      </c>
      <c r="E62" s="6">
        <f t="shared" si="1"/>
        <v>1.0306150356237842</v>
      </c>
      <c r="F62" s="6" t="e">
        <f t="shared" si="12"/>
        <v>#N/A</v>
      </c>
      <c r="G62" s="6" t="e">
        <f>VLOOKUP(A62,'coefs in LR model only'!A:C,3,0)</f>
        <v>#N/A</v>
      </c>
      <c r="H62" t="e">
        <f>VLOOKUP(A62,'coefs in LR model only'!A:E,5,0)</f>
        <v>#N/A</v>
      </c>
    </row>
    <row r="63" spans="1:8" x14ac:dyDescent="0.2">
      <c r="A63" s="10" t="s">
        <v>60</v>
      </c>
      <c r="B63">
        <v>-1.9712727999999999E-2</v>
      </c>
      <c r="C63" t="e">
        <f>VLOOKUP(A63,'coefs in LR model only'!A:B,2,0)</f>
        <v>#N/A</v>
      </c>
      <c r="D63" t="e">
        <f t="shared" si="0"/>
        <v>#N/A</v>
      </c>
      <c r="E63" s="6">
        <f t="shared" si="1"/>
        <v>0.98048029738945341</v>
      </c>
      <c r="F63" s="6" t="e">
        <f t="shared" si="12"/>
        <v>#N/A</v>
      </c>
      <c r="G63" s="6" t="e">
        <f>VLOOKUP(A63,'coefs in LR model only'!A:C,3,0)</f>
        <v>#N/A</v>
      </c>
      <c r="H63" t="e">
        <f>VLOOKUP(A63,'coefs in LR model only'!A:E,5,0)</f>
        <v>#N/A</v>
      </c>
    </row>
    <row r="64" spans="1:8" s="1" customFormat="1" x14ac:dyDescent="0.2">
      <c r="A64" s="11" t="s">
        <v>61</v>
      </c>
      <c r="B64" s="1">
        <v>-1.1341548999999999E-2</v>
      </c>
      <c r="C64" s="1">
        <f>VLOOKUP(A64,'coefs in LR model only'!A:B,2,0)</f>
        <v>-8.3710158000000007E-2</v>
      </c>
      <c r="D64" s="1">
        <f t="shared" si="0"/>
        <v>7.2368609E-2</v>
      </c>
      <c r="E64" s="7">
        <f t="shared" si="1"/>
        <v>0.98872252390941506</v>
      </c>
      <c r="F64" s="7">
        <f t="shared" si="12"/>
        <v>0.9196977845129527</v>
      </c>
      <c r="G64" s="7">
        <f>VLOOKUP(A64,'coefs in LR model only'!A:C,3,0)</f>
        <v>0.13159278099999999</v>
      </c>
      <c r="H64">
        <f>VLOOKUP(A64,'coefs in LR model only'!A:E,5,0)</f>
        <v>0.52469148399999999</v>
      </c>
    </row>
    <row r="65" spans="1:8" s="1" customFormat="1" x14ac:dyDescent="0.2">
      <c r="A65" s="11" t="s">
        <v>72</v>
      </c>
      <c r="B65" s="1" t="e">
        <v>#N/A</v>
      </c>
      <c r="C65" s="1">
        <v>-6.6349537E-2</v>
      </c>
      <c r="D65" s="1" t="e">
        <f t="shared" ref="D65:D66" si="13">ABS(C65-B65)</f>
        <v>#N/A</v>
      </c>
      <c r="E65" s="7" t="e">
        <f t="shared" ref="E65:E66" si="14">EXP(B65)</f>
        <v>#N/A</v>
      </c>
      <c r="F65" s="7">
        <f t="shared" ref="F65:F66" si="15">EXP(C65)</f>
        <v>0.93580370909746036</v>
      </c>
      <c r="G65" s="7">
        <f>VLOOKUP(A65,'coefs in LR model only'!A:C,3,0)</f>
        <v>4.9979412000000001E-2</v>
      </c>
      <c r="H65">
        <f>VLOOKUP(A65,'coefs in LR model only'!A:E,5,0)</f>
        <v>0.18433099</v>
      </c>
    </row>
    <row r="66" spans="1:8" s="1" customFormat="1" x14ac:dyDescent="0.2">
      <c r="A66" s="11" t="s">
        <v>73</v>
      </c>
      <c r="B66" s="1" t="e">
        <v>#N/A</v>
      </c>
      <c r="C66" s="1">
        <v>-4.9606540999999997E-2</v>
      </c>
      <c r="D66" s="1" t="e">
        <f t="shared" si="13"/>
        <v>#N/A</v>
      </c>
      <c r="E66" s="7" t="e">
        <f t="shared" si="14"/>
        <v>#N/A</v>
      </c>
      <c r="F66" s="7">
        <f t="shared" si="15"/>
        <v>0.95160376791841272</v>
      </c>
      <c r="G66" s="7">
        <f>VLOOKUP(A66,'coefs in LR model only'!A:C,3,0)</f>
        <v>5.4146341000000001E-2</v>
      </c>
      <c r="H66">
        <f>VLOOKUP(A66,'coefs in LR model only'!A:E,5,0)</f>
        <v>0.35958463000000002</v>
      </c>
    </row>
    <row r="67" spans="1:8" x14ac:dyDescent="0.2">
      <c r="A67" s="10" t="s">
        <v>62</v>
      </c>
      <c r="B67">
        <v>4.7334619999999999E-3</v>
      </c>
      <c r="C67">
        <f>VLOOKUP(A67,'coefs in LR model only'!A:B,2,0)</f>
        <v>3.7329939999999999E-3</v>
      </c>
      <c r="D67">
        <f t="shared" si="0"/>
        <v>1.000468E-3</v>
      </c>
      <c r="E67" s="6">
        <f t="shared" si="1"/>
        <v>1.0047446825282484</v>
      </c>
      <c r="F67" s="6">
        <f>EXP(C67)</f>
        <v>1.0037399703002299</v>
      </c>
      <c r="G67" s="6">
        <f>VLOOKUP(A67,'coefs in LR model only'!A:C,3,0)</f>
        <v>1.1477390000000001E-3</v>
      </c>
      <c r="H67">
        <f>VLOOKUP(A67,'coefs in LR model only'!A:E,5,0)</f>
        <v>1.1440440000000001E-3</v>
      </c>
    </row>
    <row r="68" spans="1:8" x14ac:dyDescent="0.2">
      <c r="A68" s="10" t="s">
        <v>63</v>
      </c>
      <c r="B68">
        <v>3.4355140000000002E-3</v>
      </c>
      <c r="C68" t="e">
        <f>VLOOKUP(A68,'coefs in LR model only'!A:B,2,0)</f>
        <v>#N/A</v>
      </c>
      <c r="D68" t="e">
        <f t="shared" si="0"/>
        <v>#N/A</v>
      </c>
      <c r="E68" s="6">
        <f t="shared" si="1"/>
        <v>1.0034414221421197</v>
      </c>
      <c r="F68" s="6" t="e">
        <f>EXP(C68)</f>
        <v>#N/A</v>
      </c>
      <c r="G68" s="6" t="e">
        <f>VLOOKUP(A68,'coefs in LR model only'!A:C,3,0)</f>
        <v>#N/A</v>
      </c>
      <c r="H68" t="e">
        <f>VLOOKUP(A68,'coefs in LR model only'!A:E,5,0)</f>
        <v>#N/A</v>
      </c>
    </row>
    <row r="69" spans="1:8" x14ac:dyDescent="0.2">
      <c r="A69" s="10" t="s">
        <v>64</v>
      </c>
      <c r="B69">
        <v>2.2540030000000001E-3</v>
      </c>
      <c r="C69">
        <f>VLOOKUP(A69,'coefs in LR model only'!A:B,2,0)</f>
        <v>2.3429010000000001E-3</v>
      </c>
      <c r="D69">
        <f t="shared" si="0"/>
        <v>8.8898000000000015E-5</v>
      </c>
      <c r="E69" s="6">
        <f t="shared" si="1"/>
        <v>1.0022565451744261</v>
      </c>
      <c r="F69" s="6">
        <f>EXP(C69)</f>
        <v>1.0023456477372401</v>
      </c>
      <c r="G69" s="6">
        <f>VLOOKUP(A69,'coefs in LR model only'!A:C,3,0)</f>
        <v>1.31235E-4</v>
      </c>
      <c r="H69">
        <f>VLOOKUP(A69,'coefs in LR model only'!A:E,5,0)</f>
        <v>2.7499999999999999E-71</v>
      </c>
    </row>
    <row r="71" spans="1:8" x14ac:dyDescent="0.2">
      <c r="B71">
        <f>EXP(B69)</f>
        <v>1.0022565451744261</v>
      </c>
      <c r="C71">
        <f>EXP(C69)</f>
        <v>1.0023456477372401</v>
      </c>
    </row>
    <row r="72" spans="1:8" x14ac:dyDescent="0.2">
      <c r="B72">
        <f>EXP(B67)</f>
        <v>1.0047446825282484</v>
      </c>
      <c r="C72">
        <f>EXP(C67)</f>
        <v>1.0037399703002299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55"/>
  <sheetViews>
    <sheetView topLeftCell="A19" workbookViewId="0">
      <selection activeCell="I53" sqref="I53"/>
    </sheetView>
  </sheetViews>
  <sheetFormatPr baseColWidth="10" defaultRowHeight="16" x14ac:dyDescent="0.2"/>
  <cols>
    <col min="1" max="1" width="33" bestFit="1" customWidth="1"/>
    <col min="2" max="5" width="10.83203125" style="8"/>
    <col min="6" max="6" width="12.6640625" style="8" bestFit="1" customWidth="1"/>
    <col min="7" max="8" width="10.83203125" style="8"/>
  </cols>
  <sheetData>
    <row r="1" spans="1:10" s="2" customFormat="1" x14ac:dyDescent="0.2">
      <c r="A1" s="2" t="s">
        <v>0</v>
      </c>
      <c r="B1" s="4" t="s">
        <v>1</v>
      </c>
      <c r="C1" s="4" t="s">
        <v>65</v>
      </c>
      <c r="D1" s="4" t="s">
        <v>66</v>
      </c>
      <c r="E1" s="4" t="s">
        <v>67</v>
      </c>
      <c r="F1" s="4" t="s">
        <v>79</v>
      </c>
      <c r="G1" s="4" t="s">
        <v>81</v>
      </c>
      <c r="H1" s="4" t="s">
        <v>82</v>
      </c>
      <c r="I1" s="2" t="s">
        <v>83</v>
      </c>
      <c r="J1" s="2" t="s">
        <v>84</v>
      </c>
    </row>
    <row r="2" spans="1:10" x14ac:dyDescent="0.2">
      <c r="A2" t="s">
        <v>2</v>
      </c>
      <c r="B2" s="8">
        <v>-2.953261049</v>
      </c>
      <c r="C2" s="8">
        <v>0.48199575300000003</v>
      </c>
      <c r="D2" s="8">
        <v>-6.127151595</v>
      </c>
      <c r="E2" s="13">
        <v>8.9500000000000001E-10</v>
      </c>
      <c r="F2" s="8">
        <f>VLOOKUP(A2,'Coefs+OR for both models'!A:B,2,FALSE)</f>
        <v>-2.7065001550000001</v>
      </c>
      <c r="G2" s="8">
        <f>B2-(1.96*C2)</f>
        <v>-3.8979727248799998</v>
      </c>
      <c r="H2" s="8">
        <f>B2+(1.96*C2)</f>
        <v>-2.0085493731200001</v>
      </c>
      <c r="I2">
        <f>EXP(G2)</f>
        <v>2.0282988992935833E-2</v>
      </c>
      <c r="J2">
        <f>EXP(H2)</f>
        <v>0.13418318328750142</v>
      </c>
    </row>
    <row r="3" spans="1:10" x14ac:dyDescent="0.2">
      <c r="A3" t="s">
        <v>3</v>
      </c>
      <c r="B3" s="8">
        <v>-2.754108542</v>
      </c>
      <c r="C3" s="8">
        <v>0.48149819599999999</v>
      </c>
      <c r="D3" s="8">
        <v>-5.7198730189999996</v>
      </c>
      <c r="E3" s="13">
        <v>1.07E-8</v>
      </c>
      <c r="F3" s="8">
        <f>VLOOKUP(A3,'Coefs+OR for both models'!A:B,2,FALSE)</f>
        <v>-2.5209294999999998</v>
      </c>
      <c r="G3" s="8">
        <f t="shared" ref="G3:G54" si="0">B3-(1.96*C3)</f>
        <v>-3.6978450061600001</v>
      </c>
      <c r="H3" s="8">
        <f t="shared" ref="H3:H54" si="1">B3+(1.96*C3)</f>
        <v>-1.8103720778399999</v>
      </c>
      <c r="I3">
        <f t="shared" ref="I3:I54" si="2">EXP(G3)</f>
        <v>2.4776862966855551E-2</v>
      </c>
      <c r="J3">
        <f t="shared" ref="J3:J54" si="3">EXP(H3)</f>
        <v>0.16359325605186698</v>
      </c>
    </row>
    <row r="4" spans="1:10" x14ac:dyDescent="0.2">
      <c r="A4" t="s">
        <v>4</v>
      </c>
      <c r="B4" s="8">
        <v>-2.3671559150000001</v>
      </c>
      <c r="C4" s="8">
        <v>0.30417730999999998</v>
      </c>
      <c r="D4" s="8">
        <v>-7.782158087</v>
      </c>
      <c r="E4" s="13">
        <v>7.1300000000000003E-15</v>
      </c>
      <c r="F4" s="8">
        <f>VLOOKUP(A4,'Coefs+OR for both models'!A:B,2,FALSE)</f>
        <v>-2.3886980699999998</v>
      </c>
      <c r="G4" s="8">
        <f t="shared" si="0"/>
        <v>-2.9633434426000003</v>
      </c>
      <c r="H4" s="8">
        <f t="shared" si="1"/>
        <v>-1.7709683874000002</v>
      </c>
      <c r="I4">
        <f t="shared" si="2"/>
        <v>5.1645952906737201E-2</v>
      </c>
      <c r="J4">
        <f t="shared" si="3"/>
        <v>0.17016812034638953</v>
      </c>
    </row>
    <row r="5" spans="1:10" x14ac:dyDescent="0.2">
      <c r="A5" t="s">
        <v>5</v>
      </c>
      <c r="B5" s="8">
        <v>-2.222152919</v>
      </c>
      <c r="C5" s="8">
        <v>0.20728653399999999</v>
      </c>
      <c r="D5" s="8">
        <v>-10.720199129999999</v>
      </c>
      <c r="E5" s="13">
        <v>8.1800000000000007E-27</v>
      </c>
      <c r="F5" s="8">
        <f>VLOOKUP(A5,'Coefs+OR for both models'!A:B,2,FALSE)</f>
        <v>-2.274944606</v>
      </c>
      <c r="G5" s="8">
        <f t="shared" si="0"/>
        <v>-2.6284345256399999</v>
      </c>
      <c r="H5" s="8">
        <f t="shared" si="1"/>
        <v>-1.8158713123600001</v>
      </c>
      <c r="I5">
        <f t="shared" si="2"/>
        <v>7.2191387591118691E-2</v>
      </c>
      <c r="J5">
        <f t="shared" si="3"/>
        <v>0.16269608750205874</v>
      </c>
    </row>
    <row r="6" spans="1:10" x14ac:dyDescent="0.2">
      <c r="A6" t="s">
        <v>6</v>
      </c>
      <c r="B6" s="8">
        <v>-2.2074792529999998</v>
      </c>
      <c r="C6" s="8">
        <v>0.38571787299999999</v>
      </c>
      <c r="D6" s="8">
        <v>-5.7230411380000001</v>
      </c>
      <c r="E6" s="13">
        <v>1.05E-8</v>
      </c>
      <c r="F6" s="8">
        <f>VLOOKUP(A6,'Coefs+OR for both models'!A:B,2,FALSE)</f>
        <v>-2.1694918959999998</v>
      </c>
      <c r="G6" s="8">
        <f t="shared" si="0"/>
        <v>-2.96348628408</v>
      </c>
      <c r="H6" s="8">
        <f t="shared" si="1"/>
        <v>-1.4514722219199998</v>
      </c>
      <c r="I6">
        <f t="shared" si="2"/>
        <v>5.1638576249246886E-2</v>
      </c>
      <c r="J6">
        <f t="shared" si="3"/>
        <v>0.23422520265738642</v>
      </c>
    </row>
    <row r="7" spans="1:10" x14ac:dyDescent="0.2">
      <c r="A7" t="s">
        <v>7</v>
      </c>
      <c r="B7" s="8">
        <v>1.5795689639999999</v>
      </c>
      <c r="C7" s="8">
        <v>0.106179921</v>
      </c>
      <c r="D7" s="8">
        <v>14.87634341</v>
      </c>
      <c r="E7" s="13">
        <v>4.6899999999999999E-50</v>
      </c>
      <c r="F7" s="8">
        <f>VLOOKUP(A7,'Coefs+OR for both models'!A:B,2,FALSE)</f>
        <v>1.5191068210000001</v>
      </c>
      <c r="G7" s="8">
        <f t="shared" si="0"/>
        <v>1.37145631884</v>
      </c>
      <c r="H7" s="8">
        <f t="shared" si="1"/>
        <v>1.7876816091599999</v>
      </c>
      <c r="I7">
        <f t="shared" si="2"/>
        <v>3.9410859960297726</v>
      </c>
      <c r="J7">
        <f t="shared" si="3"/>
        <v>5.9755826586784453</v>
      </c>
    </row>
    <row r="8" spans="1:10" x14ac:dyDescent="0.2">
      <c r="A8" t="s">
        <v>9</v>
      </c>
      <c r="B8" s="8">
        <v>1.4183323779999999</v>
      </c>
      <c r="C8" s="8">
        <v>0.148994981</v>
      </c>
      <c r="D8" s="8">
        <v>9.5193299299999996</v>
      </c>
      <c r="E8" s="13">
        <v>1.7399999999999999E-21</v>
      </c>
      <c r="F8" s="8">
        <f>VLOOKUP(A8,'Coefs+OR for both models'!A:B,2,FALSE)</f>
        <v>1.1124023730000001</v>
      </c>
      <c r="G8" s="8">
        <f t="shared" si="0"/>
        <v>1.12630221524</v>
      </c>
      <c r="H8" s="8">
        <f t="shared" si="1"/>
        <v>1.7103625407599998</v>
      </c>
      <c r="I8">
        <f t="shared" si="2"/>
        <v>3.0842305670364549</v>
      </c>
      <c r="J8">
        <f t="shared" si="3"/>
        <v>5.5309663149157702</v>
      </c>
    </row>
    <row r="9" spans="1:10" x14ac:dyDescent="0.2">
      <c r="A9" t="s">
        <v>8</v>
      </c>
      <c r="B9" s="8">
        <v>-1.361362862</v>
      </c>
      <c r="C9" s="8">
        <v>0.400822925</v>
      </c>
      <c r="D9" s="8">
        <v>-3.3964196609999999</v>
      </c>
      <c r="E9" s="13">
        <v>6.8273599999999998E-4</v>
      </c>
      <c r="F9" s="8">
        <f>VLOOKUP(A9,'Coefs+OR for both models'!A:B,2,FALSE)</f>
        <v>-1.235333711</v>
      </c>
      <c r="G9" s="8">
        <f t="shared" si="0"/>
        <v>-2.1469757949999999</v>
      </c>
      <c r="H9" s="8">
        <f t="shared" si="1"/>
        <v>-0.57574992899999999</v>
      </c>
      <c r="I9">
        <f t="shared" si="2"/>
        <v>0.11683696295456178</v>
      </c>
      <c r="J9">
        <f t="shared" si="3"/>
        <v>0.56228303829863135</v>
      </c>
    </row>
    <row r="10" spans="1:10" x14ac:dyDescent="0.2">
      <c r="A10" t="s">
        <v>12</v>
      </c>
      <c r="B10" s="8">
        <v>-1.2186591309999999</v>
      </c>
      <c r="C10" s="8">
        <v>0.33545882399999999</v>
      </c>
      <c r="D10" s="8">
        <v>-3.63281286</v>
      </c>
      <c r="E10" s="13">
        <v>2.8034799999999998E-4</v>
      </c>
      <c r="F10" s="8">
        <f>VLOOKUP(A10,'Coefs+OR for both models'!A:B,2,FALSE)</f>
        <v>-0.83884318000000002</v>
      </c>
      <c r="G10" s="8">
        <f t="shared" si="0"/>
        <v>-1.8761584260399999</v>
      </c>
      <c r="H10" s="8">
        <f t="shared" si="1"/>
        <v>-0.56115983595999996</v>
      </c>
      <c r="I10">
        <f t="shared" si="2"/>
        <v>0.15317741931566758</v>
      </c>
      <c r="J10">
        <f t="shared" si="3"/>
        <v>0.57054693908816412</v>
      </c>
    </row>
    <row r="11" spans="1:10" x14ac:dyDescent="0.2">
      <c r="A11" t="s">
        <v>11</v>
      </c>
      <c r="B11" s="8">
        <v>1.1353184489999999</v>
      </c>
      <c r="C11" s="8">
        <v>0.12788371400000001</v>
      </c>
      <c r="D11" s="8">
        <v>8.8777407030000006</v>
      </c>
      <c r="E11" s="13">
        <v>6.8200000000000001E-19</v>
      </c>
      <c r="F11" s="8">
        <f>VLOOKUP(A11,'Coefs+OR for both models'!A:B,2,FALSE)</f>
        <v>0.86260097000000002</v>
      </c>
      <c r="G11" s="8">
        <f t="shared" si="0"/>
        <v>0.88466636955999989</v>
      </c>
      <c r="H11" s="8">
        <f t="shared" si="1"/>
        <v>1.3859705284399999</v>
      </c>
      <c r="I11">
        <f t="shared" si="2"/>
        <v>2.4221761449722221</v>
      </c>
      <c r="J11">
        <f t="shared" si="3"/>
        <v>3.9987048789930082</v>
      </c>
    </row>
    <row r="12" spans="1:10" x14ac:dyDescent="0.2">
      <c r="A12" s="1" t="s">
        <v>10</v>
      </c>
      <c r="B12" s="12">
        <v>1.077172743</v>
      </c>
      <c r="C12" s="12">
        <v>0.72323721799999996</v>
      </c>
      <c r="D12" s="12">
        <v>1.489376813</v>
      </c>
      <c r="E12" s="12">
        <v>0.136388171</v>
      </c>
      <c r="F12" s="8">
        <f>VLOOKUP(A12,'Coefs+OR for both models'!A:B,2,FALSE)</f>
        <v>0.95792944599999996</v>
      </c>
      <c r="G12" s="8">
        <f t="shared" si="0"/>
        <v>-0.34037220427999992</v>
      </c>
      <c r="H12" s="8">
        <f t="shared" si="1"/>
        <v>2.4947176902799999</v>
      </c>
      <c r="I12">
        <f t="shared" si="2"/>
        <v>0.71150544809890015</v>
      </c>
      <c r="J12">
        <f t="shared" si="3"/>
        <v>12.118311918392116</v>
      </c>
    </row>
    <row r="13" spans="1:10" x14ac:dyDescent="0.2">
      <c r="A13" s="1" t="s">
        <v>13</v>
      </c>
      <c r="B13" s="12">
        <v>0.98895551599999998</v>
      </c>
      <c r="C13" s="12">
        <v>0.58049732099999996</v>
      </c>
      <c r="D13" s="12">
        <v>1.7036349369999999</v>
      </c>
      <c r="E13" s="12">
        <v>8.8449310000000003E-2</v>
      </c>
      <c r="F13" s="8">
        <f>VLOOKUP(A13,'Coefs+OR for both models'!A:B,2,FALSE)</f>
        <v>0.80693435599999996</v>
      </c>
      <c r="G13" s="8">
        <f t="shared" si="0"/>
        <v>-0.1488192331599999</v>
      </c>
      <c r="H13" s="8">
        <f t="shared" si="1"/>
        <v>2.12673026516</v>
      </c>
      <c r="I13">
        <f t="shared" si="2"/>
        <v>0.86172487210274484</v>
      </c>
      <c r="J13">
        <f t="shared" si="3"/>
        <v>8.3873973616347026</v>
      </c>
    </row>
    <row r="14" spans="1:10" x14ac:dyDescent="0.2">
      <c r="A14" t="s">
        <v>21</v>
      </c>
      <c r="B14" s="8">
        <v>0.94066185199999997</v>
      </c>
      <c r="C14" s="8">
        <v>6.8936956999999993E-2</v>
      </c>
      <c r="D14" s="8">
        <v>13.64524767</v>
      </c>
      <c r="E14" s="13">
        <v>2.1499999999999899E-42</v>
      </c>
      <c r="F14" s="8">
        <f>VLOOKUP(A14,'Coefs+OR for both models'!A:B,2,FALSE)</f>
        <v>0.56385313599999998</v>
      </c>
      <c r="G14" s="8">
        <f t="shared" si="0"/>
        <v>0.80554541627999998</v>
      </c>
      <c r="H14" s="8">
        <f t="shared" si="1"/>
        <v>1.0757782877199999</v>
      </c>
      <c r="I14">
        <f t="shared" si="2"/>
        <v>2.2379167622493821</v>
      </c>
      <c r="J14">
        <f t="shared" si="3"/>
        <v>2.9322741656530353</v>
      </c>
    </row>
    <row r="15" spans="1:10" x14ac:dyDescent="0.2">
      <c r="A15" t="s">
        <v>18</v>
      </c>
      <c r="B15" s="8">
        <v>-0.86881017100000002</v>
      </c>
      <c r="C15" s="8">
        <v>0.38442490899999998</v>
      </c>
      <c r="D15" s="8">
        <v>-2.2600256929999998</v>
      </c>
      <c r="E15" s="8">
        <v>2.3819656000000002E-2</v>
      </c>
      <c r="F15" s="8">
        <f>VLOOKUP(A15,'Coefs+OR for both models'!A:B,2,FALSE)</f>
        <v>-0.69041501100000002</v>
      </c>
      <c r="G15" s="8">
        <f t="shared" si="0"/>
        <v>-1.62228299264</v>
      </c>
      <c r="H15" s="8">
        <f t="shared" si="1"/>
        <v>-0.11533734936000006</v>
      </c>
      <c r="I15">
        <f t="shared" si="2"/>
        <v>0.19744741314738729</v>
      </c>
      <c r="J15">
        <f t="shared" si="3"/>
        <v>0.89106549282373515</v>
      </c>
    </row>
    <row r="16" spans="1:10" x14ac:dyDescent="0.2">
      <c r="A16" t="s">
        <v>20</v>
      </c>
      <c r="B16" s="8">
        <v>0.83810622700000004</v>
      </c>
      <c r="C16" s="8">
        <v>0.28626557000000002</v>
      </c>
      <c r="D16" s="8">
        <v>2.9277227680000002</v>
      </c>
      <c r="E16" s="8">
        <v>3.4145439999999998E-3</v>
      </c>
      <c r="F16" s="8">
        <f>VLOOKUP(A16,'Coefs+OR for both models'!A:B,2,FALSE)</f>
        <v>0.62750901299999995</v>
      </c>
      <c r="G16" s="8">
        <f t="shared" si="0"/>
        <v>0.27702570979999996</v>
      </c>
      <c r="H16" s="8">
        <f t="shared" si="1"/>
        <v>1.3991867442000001</v>
      </c>
      <c r="I16">
        <f t="shared" si="2"/>
        <v>1.319200286974509</v>
      </c>
      <c r="J16">
        <f t="shared" si="3"/>
        <v>4.0519033926122283</v>
      </c>
    </row>
    <row r="17" spans="1:10" x14ac:dyDescent="0.2">
      <c r="A17" t="s">
        <v>17</v>
      </c>
      <c r="B17" s="8">
        <v>-0.78687761000000001</v>
      </c>
      <c r="C17" s="8">
        <v>0.13804994300000001</v>
      </c>
      <c r="D17" s="8" t="s">
        <v>68</v>
      </c>
      <c r="E17" s="13">
        <v>1.2E-8</v>
      </c>
      <c r="F17" s="8">
        <f>VLOOKUP(A17,'Coefs+OR for both models'!A:B,2,FALSE)</f>
        <v>-0.69707925999999998</v>
      </c>
      <c r="G17" s="8">
        <f t="shared" si="0"/>
        <v>-1.05745549828</v>
      </c>
      <c r="H17" s="8">
        <f t="shared" si="1"/>
        <v>-0.51629972172000005</v>
      </c>
      <c r="I17">
        <f t="shared" si="2"/>
        <v>0.34733849024939101</v>
      </c>
      <c r="J17">
        <f t="shared" si="3"/>
        <v>0.59672451457099729</v>
      </c>
    </row>
    <row r="18" spans="1:10" x14ac:dyDescent="0.2">
      <c r="A18" t="s">
        <v>14</v>
      </c>
      <c r="B18" s="8">
        <v>-0.77668056799999996</v>
      </c>
      <c r="C18" s="8">
        <v>0.15395513</v>
      </c>
      <c r="D18" s="8">
        <v>-5.0448501810000002</v>
      </c>
      <c r="E18" s="13">
        <v>4.5400000000000002E-7</v>
      </c>
      <c r="F18" s="8">
        <f>VLOOKUP(A18,'Coefs+OR for both models'!A:B,2,FALSE)</f>
        <v>-0.79914504500000005</v>
      </c>
      <c r="G18" s="8">
        <f t="shared" si="0"/>
        <v>-1.0784326227999999</v>
      </c>
      <c r="H18" s="8">
        <f t="shared" si="1"/>
        <v>-0.47492851319999996</v>
      </c>
      <c r="I18">
        <f t="shared" si="2"/>
        <v>0.34012821728436821</v>
      </c>
      <c r="J18">
        <f t="shared" si="3"/>
        <v>0.62192951462674151</v>
      </c>
    </row>
    <row r="19" spans="1:10" x14ac:dyDescent="0.2">
      <c r="A19" t="s">
        <v>16</v>
      </c>
      <c r="B19" s="8">
        <v>-0.72941109699999995</v>
      </c>
      <c r="C19" s="8">
        <v>6.0638086000000001E-2</v>
      </c>
      <c r="D19" s="8">
        <v>-12.028926869999999</v>
      </c>
      <c r="E19" s="13">
        <v>2.5000000000000001E-33</v>
      </c>
      <c r="F19" s="8">
        <f>VLOOKUP(A19,'Coefs+OR for both models'!A:B,2,FALSE)</f>
        <v>-0.71442128000000005</v>
      </c>
      <c r="G19" s="8">
        <f t="shared" si="0"/>
        <v>-0.84826174555999989</v>
      </c>
      <c r="H19" s="8">
        <f t="shared" si="1"/>
        <v>-0.61056044844000001</v>
      </c>
      <c r="I19">
        <f t="shared" si="2"/>
        <v>0.428158533949414</v>
      </c>
      <c r="J19">
        <f t="shared" si="3"/>
        <v>0.54304643424553545</v>
      </c>
    </row>
    <row r="20" spans="1:10" x14ac:dyDescent="0.2">
      <c r="A20" s="1" t="s">
        <v>19</v>
      </c>
      <c r="B20" s="12">
        <v>-0.68426372199999996</v>
      </c>
      <c r="C20" s="12">
        <v>0.34991668300000001</v>
      </c>
      <c r="D20" s="12">
        <v>-1.95550471</v>
      </c>
      <c r="E20" s="12">
        <v>5.0523527999999998E-2</v>
      </c>
      <c r="F20" s="8">
        <f>VLOOKUP(A20,'Coefs+OR for both models'!A:B,2,FALSE)</f>
        <v>-0.67699003999999996</v>
      </c>
      <c r="G20" s="8">
        <f t="shared" si="0"/>
        <v>-1.37010042068</v>
      </c>
      <c r="H20" s="8">
        <f t="shared" si="1"/>
        <v>1.5729766800000045E-3</v>
      </c>
      <c r="I20">
        <f t="shared" si="2"/>
        <v>0.25408144324033344</v>
      </c>
      <c r="J20">
        <f t="shared" si="3"/>
        <v>1.0015742144567308</v>
      </c>
    </row>
    <row r="21" spans="1:10" x14ac:dyDescent="0.2">
      <c r="A21" t="s">
        <v>24</v>
      </c>
      <c r="B21" s="8">
        <v>0.68379388399999996</v>
      </c>
      <c r="C21" s="8">
        <v>0.29573627699999999</v>
      </c>
      <c r="D21" s="8">
        <v>2.3121745150000002</v>
      </c>
      <c r="E21" s="8">
        <v>2.0768068000000001E-2</v>
      </c>
      <c r="F21" s="8">
        <f>VLOOKUP(A21,'Coefs+OR for both models'!A:B,2,FALSE)</f>
        <v>0.45845969600000003</v>
      </c>
      <c r="G21" s="8">
        <f t="shared" si="0"/>
        <v>0.10415078107999998</v>
      </c>
      <c r="H21" s="8">
        <f t="shared" si="1"/>
        <v>1.2634369869199999</v>
      </c>
      <c r="I21">
        <f t="shared" si="2"/>
        <v>1.1097677742845238</v>
      </c>
      <c r="J21">
        <f t="shared" si="3"/>
        <v>3.5375591614701083</v>
      </c>
    </row>
    <row r="22" spans="1:10" x14ac:dyDescent="0.2">
      <c r="A22" t="s">
        <v>15</v>
      </c>
      <c r="B22" s="8">
        <v>-0.66243531200000005</v>
      </c>
      <c r="C22" s="8">
        <v>4.1643821999999997E-2</v>
      </c>
      <c r="D22" s="8">
        <v>-15.90716909</v>
      </c>
      <c r="E22" s="13">
        <v>5.6499999999999901E-57</v>
      </c>
      <c r="F22" s="8">
        <f>VLOOKUP(A22,'Coefs+OR for both models'!A:B,2,FALSE)</f>
        <v>-0.72705491</v>
      </c>
      <c r="G22" s="8">
        <f t="shared" si="0"/>
        <v>-0.74405720312000001</v>
      </c>
      <c r="H22" s="8">
        <f t="shared" si="1"/>
        <v>-0.5808134208800001</v>
      </c>
      <c r="I22">
        <f t="shared" si="2"/>
        <v>0.47518208901062542</v>
      </c>
      <c r="J22">
        <f t="shared" si="3"/>
        <v>0.55944311872251162</v>
      </c>
    </row>
    <row r="23" spans="1:10" x14ac:dyDescent="0.2">
      <c r="A23" t="s">
        <v>28</v>
      </c>
      <c r="B23" s="8">
        <v>0.61198086299999999</v>
      </c>
      <c r="C23" s="8">
        <v>0.28880947200000001</v>
      </c>
      <c r="D23" s="8">
        <v>2.1189778129999999</v>
      </c>
      <c r="E23" s="8">
        <v>3.4092341999999998E-2</v>
      </c>
      <c r="F23" s="8">
        <f>VLOOKUP(A23,'Coefs+OR for both models'!A:B,2,FALSE)</f>
        <v>0.39403836199999998</v>
      </c>
      <c r="G23" s="8">
        <f t="shared" si="0"/>
        <v>4.591429788000001E-2</v>
      </c>
      <c r="H23" s="8">
        <f t="shared" si="1"/>
        <v>1.17804742812</v>
      </c>
      <c r="I23">
        <f t="shared" si="2"/>
        <v>1.0469846783053145</v>
      </c>
      <c r="J23">
        <f t="shared" si="3"/>
        <v>3.248026003009294</v>
      </c>
    </row>
    <row r="24" spans="1:10" x14ac:dyDescent="0.2">
      <c r="A24" t="s">
        <v>26</v>
      </c>
      <c r="B24" s="8">
        <v>-0.54787702000000005</v>
      </c>
      <c r="C24" s="8">
        <v>0.142373308</v>
      </c>
      <c r="D24" s="8">
        <v>-3.8481722920000001</v>
      </c>
      <c r="E24" s="13">
        <v>1.19002E-4</v>
      </c>
      <c r="F24" s="8">
        <f>VLOOKUP(A24,'Coefs+OR for both models'!A:B,2,FALSE)</f>
        <v>-0.44652392699999999</v>
      </c>
      <c r="G24" s="8">
        <f t="shared" si="0"/>
        <v>-0.82692870368000004</v>
      </c>
      <c r="H24" s="8">
        <f t="shared" si="1"/>
        <v>-0.26882533632000005</v>
      </c>
      <c r="I24">
        <f t="shared" si="2"/>
        <v>0.43739058159321537</v>
      </c>
      <c r="J24">
        <f t="shared" si="3"/>
        <v>0.7642767353779687</v>
      </c>
    </row>
    <row r="25" spans="1:10" x14ac:dyDescent="0.2">
      <c r="A25" t="s">
        <v>22</v>
      </c>
      <c r="B25" s="8">
        <v>0.54522733099999998</v>
      </c>
      <c r="C25" s="8">
        <v>0.113326861</v>
      </c>
      <c r="D25" s="8">
        <v>4.8111041370000001</v>
      </c>
      <c r="E25" s="13">
        <v>1.5E-6</v>
      </c>
      <c r="F25" s="8">
        <f>VLOOKUP(A25,'Coefs+OR for both models'!A:B,2,FALSE)</f>
        <v>0.52602162799999996</v>
      </c>
      <c r="G25" s="8">
        <f t="shared" si="0"/>
        <v>0.32310668343999999</v>
      </c>
      <c r="H25" s="8">
        <f t="shared" si="1"/>
        <v>0.76734797855999992</v>
      </c>
      <c r="I25">
        <f t="shared" si="2"/>
        <v>1.3814127169054335</v>
      </c>
      <c r="J25">
        <f t="shared" si="3"/>
        <v>2.1540460957179981</v>
      </c>
    </row>
    <row r="26" spans="1:10" x14ac:dyDescent="0.2">
      <c r="A26" s="1" t="s">
        <v>35</v>
      </c>
      <c r="B26" s="12">
        <v>0.53603617199999998</v>
      </c>
      <c r="C26" s="12">
        <v>0.28653255999999999</v>
      </c>
      <c r="D26" s="12">
        <v>1.870768792</v>
      </c>
      <c r="E26" s="12">
        <v>6.1377134999999999E-2</v>
      </c>
      <c r="F26" s="8">
        <f>VLOOKUP(A26,'Coefs+OR for both models'!A:B,2,FALSE)</f>
        <v>0.318648877</v>
      </c>
      <c r="G26" s="8">
        <f t="shared" si="0"/>
        <v>-2.5567645600000022E-2</v>
      </c>
      <c r="H26" s="8">
        <f t="shared" si="1"/>
        <v>1.0976399896</v>
      </c>
      <c r="I26">
        <f t="shared" si="2"/>
        <v>0.97475643875133033</v>
      </c>
      <c r="J26">
        <f t="shared" si="3"/>
        <v>2.9970845203844103</v>
      </c>
    </row>
    <row r="27" spans="1:10" x14ac:dyDescent="0.2">
      <c r="A27" t="s">
        <v>29</v>
      </c>
      <c r="B27" s="8">
        <v>-0.46066534799999997</v>
      </c>
      <c r="C27" s="8">
        <v>3.4574464999999999E-2</v>
      </c>
      <c r="D27" s="8">
        <v>-13.323860529999999</v>
      </c>
      <c r="E27" s="13">
        <v>1.6799999999999899E-40</v>
      </c>
      <c r="F27" s="8">
        <f>VLOOKUP(A27,'Coefs+OR for both models'!A:B,2,FALSE)</f>
        <v>-0.38557933700000002</v>
      </c>
      <c r="G27" s="8">
        <f t="shared" si="0"/>
        <v>-0.5284312994</v>
      </c>
      <c r="H27" s="8">
        <f t="shared" si="1"/>
        <v>-0.39289939659999995</v>
      </c>
      <c r="I27">
        <f t="shared" si="2"/>
        <v>0.58952903925220257</v>
      </c>
      <c r="J27">
        <f t="shared" si="3"/>
        <v>0.67509666118935052</v>
      </c>
    </row>
    <row r="28" spans="1:10" x14ac:dyDescent="0.2">
      <c r="A28" t="s">
        <v>33</v>
      </c>
      <c r="B28" s="8">
        <v>-0.44928948600000002</v>
      </c>
      <c r="C28" s="8">
        <v>3.5941157000000001E-2</v>
      </c>
      <c r="D28" s="8">
        <v>-12.50069611</v>
      </c>
      <c r="E28" s="13">
        <v>7.4E-36</v>
      </c>
      <c r="F28" s="8">
        <f>VLOOKUP(A28,'Coefs+OR for both models'!A:B,2,FALSE)</f>
        <v>-0.33151309099999998</v>
      </c>
      <c r="G28" s="8">
        <f t="shared" si="0"/>
        <v>-0.51973415371999998</v>
      </c>
      <c r="H28" s="8">
        <f t="shared" si="1"/>
        <v>-0.37884481828</v>
      </c>
      <c r="I28">
        <f t="shared" si="2"/>
        <v>0.59467862005676286</v>
      </c>
      <c r="J28">
        <f t="shared" si="3"/>
        <v>0.68465184987469341</v>
      </c>
    </row>
    <row r="29" spans="1:10" x14ac:dyDescent="0.2">
      <c r="A29" t="s">
        <v>31</v>
      </c>
      <c r="B29" s="8">
        <v>-0.431604137</v>
      </c>
      <c r="C29" s="8">
        <v>0.124897023</v>
      </c>
      <c r="D29" s="8">
        <v>-3.4556799329999999</v>
      </c>
      <c r="E29" s="13">
        <v>5.4890699999999995E-4</v>
      </c>
      <c r="F29" s="8">
        <f>VLOOKUP(A29,'Coefs+OR for both models'!A:B,2,FALSE)</f>
        <v>-0.34823717100000001</v>
      </c>
      <c r="G29" s="8">
        <f t="shared" si="0"/>
        <v>-0.67640230207999996</v>
      </c>
      <c r="H29" s="8">
        <f t="shared" si="1"/>
        <v>-0.18680597192000001</v>
      </c>
      <c r="I29">
        <f t="shared" si="2"/>
        <v>0.5084429298815708</v>
      </c>
      <c r="J29">
        <f t="shared" si="3"/>
        <v>0.82960468737504356</v>
      </c>
    </row>
    <row r="30" spans="1:10" x14ac:dyDescent="0.2">
      <c r="A30" s="1" t="s">
        <v>44</v>
      </c>
      <c r="B30" s="12">
        <v>0.38654796000000002</v>
      </c>
      <c r="C30" s="12">
        <v>0.28596958099999997</v>
      </c>
      <c r="D30" s="12">
        <v>1.351710059</v>
      </c>
      <c r="E30" s="12">
        <v>0.176468086</v>
      </c>
      <c r="F30" s="8">
        <f>VLOOKUP(A30,'Coefs+OR for both models'!A:B,2,FALSE)</f>
        <v>0.19314645899999999</v>
      </c>
      <c r="G30" s="8">
        <f t="shared" si="0"/>
        <v>-0.17395241875999989</v>
      </c>
      <c r="H30" s="8">
        <f t="shared" si="1"/>
        <v>0.94704833875999994</v>
      </c>
      <c r="I30">
        <f t="shared" si="2"/>
        <v>0.84033688097801074</v>
      </c>
      <c r="J30">
        <f t="shared" si="3"/>
        <v>2.578088773006872</v>
      </c>
    </row>
    <row r="31" spans="1:10" x14ac:dyDescent="0.2">
      <c r="A31" t="s">
        <v>38</v>
      </c>
      <c r="B31" s="8">
        <v>0.359348469</v>
      </c>
      <c r="C31" s="8">
        <v>3.9334256999999997E-2</v>
      </c>
      <c r="D31" s="8">
        <v>9.1357635259999999</v>
      </c>
      <c r="E31" s="13">
        <v>6.49E-20</v>
      </c>
      <c r="F31" s="8">
        <f>VLOOKUP(A31,'Coefs+OR for both models'!A:B,2,FALSE)</f>
        <v>0.28457063700000002</v>
      </c>
      <c r="G31" s="8">
        <f t="shared" si="0"/>
        <v>0.28225332528000002</v>
      </c>
      <c r="H31" s="8">
        <f t="shared" si="1"/>
        <v>0.43644361271999998</v>
      </c>
      <c r="I31">
        <f t="shared" si="2"/>
        <v>1.3261146157959043</v>
      </c>
      <c r="J31">
        <f t="shared" si="3"/>
        <v>1.5471949979152932</v>
      </c>
    </row>
    <row r="32" spans="1:10" x14ac:dyDescent="0.2">
      <c r="A32" t="s">
        <v>69</v>
      </c>
      <c r="B32" s="8">
        <v>0.34572238700000002</v>
      </c>
      <c r="C32" s="8">
        <v>5.9881539999999997E-2</v>
      </c>
      <c r="D32" s="8">
        <v>5.7734385179999999</v>
      </c>
      <c r="E32" s="13">
        <v>7.7699999999999994E-9</v>
      </c>
      <c r="F32" s="8" t="e">
        <f>VLOOKUP(A32,'Coefs+OR for both models'!A:B,2,FALSE)</f>
        <v>#N/A</v>
      </c>
      <c r="G32" s="8">
        <f t="shared" si="0"/>
        <v>0.22835456860000003</v>
      </c>
      <c r="H32" s="8">
        <f t="shared" si="1"/>
        <v>0.46309020540000001</v>
      </c>
      <c r="I32">
        <f t="shared" si="2"/>
        <v>1.2565307728138237</v>
      </c>
      <c r="J32">
        <f t="shared" si="3"/>
        <v>1.5889766702276402</v>
      </c>
    </row>
    <row r="33" spans="1:10" x14ac:dyDescent="0.2">
      <c r="A33" s="1" t="s">
        <v>23</v>
      </c>
      <c r="B33" s="12">
        <v>-0.32612968799999997</v>
      </c>
      <c r="C33" s="12">
        <v>0.306449788</v>
      </c>
      <c r="D33" s="12">
        <v>-1.0642190030000001</v>
      </c>
      <c r="E33" s="12">
        <v>0.28722950000000003</v>
      </c>
      <c r="F33" s="8">
        <f>VLOOKUP(A33,'Coefs+OR for both models'!A:B,2,FALSE)</f>
        <v>-0.48711232100000001</v>
      </c>
      <c r="G33" s="8">
        <f t="shared" si="0"/>
        <v>-0.92677127248000002</v>
      </c>
      <c r="H33" s="8">
        <f t="shared" si="1"/>
        <v>0.27451189648000007</v>
      </c>
      <c r="I33">
        <f t="shared" si="2"/>
        <v>0.39582967555789111</v>
      </c>
      <c r="J33">
        <f t="shared" si="3"/>
        <v>1.3158882284139735</v>
      </c>
    </row>
    <row r="34" spans="1:10" x14ac:dyDescent="0.2">
      <c r="A34" t="s">
        <v>32</v>
      </c>
      <c r="B34" s="8">
        <v>0.313554571</v>
      </c>
      <c r="C34" s="8">
        <v>0.143474883</v>
      </c>
      <c r="D34" s="8">
        <v>2.1854317939999999</v>
      </c>
      <c r="E34" s="8">
        <v>2.8857201999999998E-2</v>
      </c>
      <c r="F34" s="8">
        <f>VLOOKUP(A34,'Coefs+OR for both models'!A:B,2,FALSE)</f>
        <v>0.34735234700000001</v>
      </c>
      <c r="G34" s="8">
        <f t="shared" si="0"/>
        <v>3.2343800320000005E-2</v>
      </c>
      <c r="H34" s="8">
        <f t="shared" si="1"/>
        <v>0.59476534168000006</v>
      </c>
      <c r="I34">
        <f t="shared" si="2"/>
        <v>1.0328725461819344</v>
      </c>
      <c r="J34">
        <f t="shared" si="3"/>
        <v>1.812605552077446</v>
      </c>
    </row>
    <row r="35" spans="1:10" x14ac:dyDescent="0.2">
      <c r="A35" t="s">
        <v>36</v>
      </c>
      <c r="B35" s="8">
        <v>0.30437223600000002</v>
      </c>
      <c r="C35" s="8">
        <v>2.7324208999999999E-2</v>
      </c>
      <c r="D35" s="8">
        <v>11.13928801</v>
      </c>
      <c r="E35" s="13">
        <v>8.0799999999999996E-29</v>
      </c>
      <c r="F35" s="8">
        <f>VLOOKUP(A35,'Coefs+OR for both models'!A:B,2,FALSE)</f>
        <v>0.316638329</v>
      </c>
      <c r="G35" s="8">
        <f t="shared" si="0"/>
        <v>0.25081678636000004</v>
      </c>
      <c r="H35" s="8">
        <f t="shared" si="1"/>
        <v>0.35792768563999999</v>
      </c>
      <c r="I35">
        <f t="shared" si="2"/>
        <v>1.2850746195629537</v>
      </c>
      <c r="J35">
        <f t="shared" si="3"/>
        <v>1.4303621810141753</v>
      </c>
    </row>
    <row r="36" spans="1:10" x14ac:dyDescent="0.2">
      <c r="A36" t="s">
        <v>25</v>
      </c>
      <c r="B36" s="8">
        <v>-0.27617577799999998</v>
      </c>
      <c r="C36" s="8">
        <v>0.28927135500000001</v>
      </c>
      <c r="D36" s="8">
        <v>-0.954729092</v>
      </c>
      <c r="E36" s="8">
        <v>0.33971471399999997</v>
      </c>
      <c r="F36" s="8">
        <f>VLOOKUP(A36,'Coefs+OR for both models'!A:B,2,FALSE)</f>
        <v>-0.45370829800000001</v>
      </c>
      <c r="G36" s="8">
        <f t="shared" si="0"/>
        <v>-0.84314763379999991</v>
      </c>
      <c r="H36" s="8">
        <f t="shared" si="1"/>
        <v>0.2907960778</v>
      </c>
      <c r="I36">
        <f t="shared" si="2"/>
        <v>0.43035379315890798</v>
      </c>
      <c r="J36">
        <f t="shared" si="3"/>
        <v>1.337491811866081</v>
      </c>
    </row>
    <row r="37" spans="1:10" x14ac:dyDescent="0.2">
      <c r="A37" t="s">
        <v>41</v>
      </c>
      <c r="B37" s="8">
        <v>-0.257819823</v>
      </c>
      <c r="C37" s="8">
        <v>2.8400180000000001E-2</v>
      </c>
      <c r="D37" s="8">
        <v>-9.078105334</v>
      </c>
      <c r="E37" s="13">
        <v>1.0999999999999999E-19</v>
      </c>
      <c r="F37" s="8">
        <f>VLOOKUP(A37,'Coefs+OR for both models'!A:B,2,FALSE)</f>
        <v>-0.260479562</v>
      </c>
      <c r="G37" s="8">
        <f t="shared" si="0"/>
        <v>-0.31348417579999999</v>
      </c>
      <c r="H37" s="8">
        <f t="shared" si="1"/>
        <v>-0.20215547020000002</v>
      </c>
      <c r="I37">
        <f t="shared" si="2"/>
        <v>0.73089594475570352</v>
      </c>
      <c r="J37">
        <f t="shared" si="3"/>
        <v>0.81696790390485252</v>
      </c>
    </row>
    <row r="38" spans="1:10" x14ac:dyDescent="0.2">
      <c r="A38" s="1" t="s">
        <v>46</v>
      </c>
      <c r="B38" s="12">
        <v>-0.21703849</v>
      </c>
      <c r="C38" s="12">
        <v>0.13853153400000001</v>
      </c>
      <c r="D38" s="12">
        <v>-1.5667081949999999</v>
      </c>
      <c r="E38" s="12">
        <v>0.117182914</v>
      </c>
      <c r="F38" s="8">
        <f>VLOOKUP(A38,'Coefs+OR for both models'!A:B,2,FALSE)</f>
        <v>-0.15784566799999999</v>
      </c>
      <c r="G38" s="8">
        <f t="shared" si="0"/>
        <v>-0.48856029664</v>
      </c>
      <c r="H38" s="8">
        <f t="shared" si="1"/>
        <v>5.4483316640000029E-2</v>
      </c>
      <c r="I38">
        <f t="shared" si="2"/>
        <v>0.61350902967673349</v>
      </c>
      <c r="J38">
        <f t="shared" si="3"/>
        <v>1.0559948587243779</v>
      </c>
    </row>
    <row r="39" spans="1:10" x14ac:dyDescent="0.2">
      <c r="A39" s="1" t="s">
        <v>70</v>
      </c>
      <c r="B39" s="12">
        <v>0.190845711</v>
      </c>
      <c r="C39" s="12">
        <v>0.28591072699999998</v>
      </c>
      <c r="D39" s="12">
        <v>0.66750105199999998</v>
      </c>
      <c r="E39" s="12">
        <v>0.50445213799999999</v>
      </c>
      <c r="F39" s="8" t="e">
        <f>VLOOKUP(A39,'Coefs+OR for both models'!A:B,2,FALSE)</f>
        <v>#N/A</v>
      </c>
      <c r="G39" s="8">
        <f t="shared" si="0"/>
        <v>-0.36953931391999995</v>
      </c>
      <c r="H39" s="8">
        <f t="shared" si="1"/>
        <v>0.75123073592</v>
      </c>
      <c r="I39">
        <f t="shared" si="2"/>
        <v>0.69105261563756282</v>
      </c>
      <c r="J39">
        <f t="shared" si="3"/>
        <v>2.1196070885552234</v>
      </c>
    </row>
    <row r="40" spans="1:10" x14ac:dyDescent="0.2">
      <c r="A40" s="1" t="s">
        <v>51</v>
      </c>
      <c r="B40" s="12">
        <v>-0.17966203</v>
      </c>
      <c r="C40" s="12">
        <v>0.32133557400000001</v>
      </c>
      <c r="D40" s="12">
        <v>-0.55911030299999998</v>
      </c>
      <c r="E40" s="12">
        <v>0.57608644399999998</v>
      </c>
      <c r="F40" s="8">
        <f>VLOOKUP(A40,'Coefs+OR for both models'!A:B,2,FALSE)</f>
        <v>-9.1066867999999995E-2</v>
      </c>
      <c r="G40" s="8">
        <f t="shared" si="0"/>
        <v>-0.80947975504000003</v>
      </c>
      <c r="H40" s="8">
        <f t="shared" si="1"/>
        <v>0.45015569503999997</v>
      </c>
      <c r="I40">
        <f t="shared" si="2"/>
        <v>0.44508956160173974</v>
      </c>
      <c r="J40">
        <f t="shared" si="3"/>
        <v>1.5685563829282927</v>
      </c>
    </row>
    <row r="41" spans="1:10" x14ac:dyDescent="0.2">
      <c r="A41" s="1" t="s">
        <v>55</v>
      </c>
      <c r="B41" s="12">
        <v>-0.17044333</v>
      </c>
      <c r="C41" s="12">
        <v>0.12878943800000001</v>
      </c>
      <c r="D41" s="12">
        <v>-1.323426301</v>
      </c>
      <c r="E41" s="12">
        <v>0.18569364999999999</v>
      </c>
      <c r="F41" s="8">
        <f>VLOOKUP(A41,'Coefs+OR for both models'!A:B,2,FALSE)</f>
        <v>-6.9716231000000004E-2</v>
      </c>
      <c r="G41" s="8">
        <f t="shared" si="0"/>
        <v>-0.42287062848000001</v>
      </c>
      <c r="H41" s="8">
        <f t="shared" si="1"/>
        <v>8.1983968480000002E-2</v>
      </c>
      <c r="I41">
        <f t="shared" si="2"/>
        <v>0.65516338711255018</v>
      </c>
      <c r="J41">
        <f t="shared" si="3"/>
        <v>1.0854384084625102</v>
      </c>
    </row>
    <row r="42" spans="1:10" x14ac:dyDescent="0.2">
      <c r="A42" s="1" t="s">
        <v>50</v>
      </c>
      <c r="B42" s="12">
        <v>-0.147375798</v>
      </c>
      <c r="C42" s="12">
        <v>0.41271376399999998</v>
      </c>
      <c r="D42" s="12">
        <v>-0.357089612</v>
      </c>
      <c r="E42" s="12">
        <v>0.72102472100000004</v>
      </c>
      <c r="F42" s="8">
        <f>VLOOKUP(A42,'Coefs+OR for both models'!A:B,2,FALSE)</f>
        <v>-0.111610634</v>
      </c>
      <c r="G42" s="8">
        <f t="shared" si="0"/>
        <v>-0.95629477543999997</v>
      </c>
      <c r="H42" s="8">
        <f t="shared" si="1"/>
        <v>0.66154317943999996</v>
      </c>
      <c r="I42">
        <f t="shared" si="2"/>
        <v>0.384314221657927</v>
      </c>
      <c r="J42">
        <f t="shared" si="3"/>
        <v>1.9377803710985717</v>
      </c>
    </row>
    <row r="43" spans="1:10" x14ac:dyDescent="0.2">
      <c r="A43" s="1" t="s">
        <v>45</v>
      </c>
      <c r="B43" s="12">
        <v>0.12771959899999999</v>
      </c>
      <c r="C43" s="12">
        <v>0.130488242</v>
      </c>
      <c r="D43" s="12">
        <v>0.97878243300000001</v>
      </c>
      <c r="E43" s="12">
        <v>0.327687491</v>
      </c>
      <c r="F43" s="8">
        <f>VLOOKUP(A43,'Coefs+OR for both models'!A:B,2,FALSE)</f>
        <v>0.19262441</v>
      </c>
      <c r="G43" s="8">
        <f t="shared" si="0"/>
        <v>-0.12803735532000002</v>
      </c>
      <c r="H43" s="8">
        <f t="shared" si="1"/>
        <v>0.38347655331999997</v>
      </c>
      <c r="I43">
        <f t="shared" si="2"/>
        <v>0.87982051255398763</v>
      </c>
      <c r="J43">
        <f t="shared" si="3"/>
        <v>1.4673771469229966</v>
      </c>
    </row>
    <row r="44" spans="1:10" x14ac:dyDescent="0.2">
      <c r="A44" s="1" t="s">
        <v>40</v>
      </c>
      <c r="B44" s="12">
        <v>-0.10507757299999999</v>
      </c>
      <c r="C44" s="12">
        <v>0.29469323400000003</v>
      </c>
      <c r="D44" s="12">
        <v>-0.35656595200000002</v>
      </c>
      <c r="E44" s="12">
        <v>0.72141677100000001</v>
      </c>
      <c r="F44" s="8">
        <f>VLOOKUP(A44,'Coefs+OR for both models'!A:B,2,FALSE)</f>
        <v>-0.270379486</v>
      </c>
      <c r="G44" s="8">
        <f t="shared" si="0"/>
        <v>-0.68267631163999998</v>
      </c>
      <c r="H44" s="8">
        <f t="shared" si="1"/>
        <v>0.47252116564000002</v>
      </c>
      <c r="I44">
        <f t="shared" si="2"/>
        <v>0.5052629401529648</v>
      </c>
      <c r="J44">
        <f t="shared" si="3"/>
        <v>1.6040331328800648</v>
      </c>
    </row>
    <row r="45" spans="1:10" x14ac:dyDescent="0.2">
      <c r="A45" s="1" t="s">
        <v>71</v>
      </c>
      <c r="B45" s="12">
        <v>-9.6812678999999999E-2</v>
      </c>
      <c r="C45" s="12">
        <v>0.152459868</v>
      </c>
      <c r="D45" s="12">
        <v>-0.63500435</v>
      </c>
      <c r="E45" s="12">
        <v>0.525425578</v>
      </c>
      <c r="F45" s="8" t="e">
        <f>VLOOKUP(A45,'Coefs+OR for both models'!A:B,2,FALSE)</f>
        <v>#N/A</v>
      </c>
      <c r="G45" s="8">
        <f t="shared" si="0"/>
        <v>-0.39563402028</v>
      </c>
      <c r="H45" s="8">
        <f t="shared" si="1"/>
        <v>0.20200866227999997</v>
      </c>
      <c r="I45">
        <f t="shared" si="2"/>
        <v>0.67325304781666995</v>
      </c>
      <c r="J45">
        <f t="shared" si="3"/>
        <v>1.2238586094713977</v>
      </c>
    </row>
    <row r="46" spans="1:10" x14ac:dyDescent="0.2">
      <c r="A46" s="1" t="s">
        <v>61</v>
      </c>
      <c r="B46" s="12">
        <v>-8.3710158000000007E-2</v>
      </c>
      <c r="C46" s="12">
        <v>0.13159278099999999</v>
      </c>
      <c r="D46" s="12">
        <v>-0.63613032199999997</v>
      </c>
      <c r="E46" s="12">
        <v>0.52469148399999999</v>
      </c>
      <c r="F46" s="8">
        <f>VLOOKUP(A46,'Coefs+OR for both models'!A:B,2,FALSE)</f>
        <v>-1.1341548999999999E-2</v>
      </c>
      <c r="G46" s="8">
        <f t="shared" si="0"/>
        <v>-0.34163200875999999</v>
      </c>
      <c r="H46" s="8">
        <f t="shared" si="1"/>
        <v>0.17421169275999995</v>
      </c>
      <c r="I46">
        <f t="shared" si="2"/>
        <v>0.71060965472856796</v>
      </c>
      <c r="J46">
        <f t="shared" si="3"/>
        <v>1.190307518634997</v>
      </c>
    </row>
    <row r="47" spans="1:10" x14ac:dyDescent="0.2">
      <c r="A47" s="1" t="s">
        <v>57</v>
      </c>
      <c r="B47" s="12">
        <v>7.9947005000000002E-2</v>
      </c>
      <c r="C47" s="12">
        <v>0.15227032700000001</v>
      </c>
      <c r="D47" s="12">
        <v>0.52503338099999997</v>
      </c>
      <c r="E47" s="12">
        <v>0.59955998600000004</v>
      </c>
      <c r="F47" s="8">
        <f>VLOOKUP(A47,'Coefs+OR for both models'!A:B,2,FALSE)</f>
        <v>4.0288332000000003E-2</v>
      </c>
      <c r="G47" s="8">
        <f t="shared" si="0"/>
        <v>-0.21850283592000003</v>
      </c>
      <c r="H47" s="8">
        <f t="shared" si="1"/>
        <v>0.37839684592000006</v>
      </c>
      <c r="I47">
        <f t="shared" si="2"/>
        <v>0.80372120015239812</v>
      </c>
      <c r="J47">
        <f t="shared" si="3"/>
        <v>1.4599422000357944</v>
      </c>
    </row>
    <row r="48" spans="1:10" x14ac:dyDescent="0.2">
      <c r="A48" s="1" t="s">
        <v>72</v>
      </c>
      <c r="B48" s="12">
        <v>-6.6349537E-2</v>
      </c>
      <c r="C48" s="12">
        <v>4.9979412000000001E-2</v>
      </c>
      <c r="D48" s="12">
        <v>-1.3275373589999999</v>
      </c>
      <c r="E48" s="12">
        <v>0.18433099</v>
      </c>
      <c r="F48" s="8" t="e">
        <f>VLOOKUP(A48,'Coefs+OR for both models'!A:B,2,FALSE)</f>
        <v>#N/A</v>
      </c>
      <c r="G48" s="8">
        <f t="shared" si="0"/>
        <v>-0.16430918451999998</v>
      </c>
      <c r="H48" s="8">
        <f t="shared" si="1"/>
        <v>3.1610110519999998E-2</v>
      </c>
      <c r="I48">
        <f t="shared" si="2"/>
        <v>0.84847964454916258</v>
      </c>
      <c r="J48">
        <f t="shared" si="3"/>
        <v>1.032115016060144</v>
      </c>
    </row>
    <row r="49" spans="1:10" x14ac:dyDescent="0.2">
      <c r="A49" s="1" t="s">
        <v>73</v>
      </c>
      <c r="B49" s="12">
        <v>-4.9606540999999997E-2</v>
      </c>
      <c r="C49" s="12">
        <v>5.4146341000000001E-2</v>
      </c>
      <c r="D49" s="12">
        <v>-0.91615685700000005</v>
      </c>
      <c r="E49" s="12">
        <v>0.35958463000000002</v>
      </c>
      <c r="F49" s="8" t="e">
        <f>VLOOKUP(A49,'Coefs+OR for both models'!A:B,2,FALSE)</f>
        <v>#N/A</v>
      </c>
      <c r="G49" s="8">
        <f t="shared" si="0"/>
        <v>-0.15573336935999998</v>
      </c>
      <c r="H49" s="8">
        <f t="shared" si="1"/>
        <v>5.6520287359999997E-2</v>
      </c>
      <c r="I49">
        <f t="shared" si="2"/>
        <v>0.85578733907987148</v>
      </c>
      <c r="J49">
        <f t="shared" si="3"/>
        <v>1.0581480816135378</v>
      </c>
    </row>
    <row r="50" spans="1:10" x14ac:dyDescent="0.2">
      <c r="A50" s="1" t="s">
        <v>58</v>
      </c>
      <c r="B50" s="12">
        <v>-4.3586280999999998E-2</v>
      </c>
      <c r="C50" s="12">
        <v>0.129745213</v>
      </c>
      <c r="D50" s="12">
        <v>-0.33593749099999998</v>
      </c>
      <c r="E50" s="12">
        <v>0.73691800500000004</v>
      </c>
      <c r="F50" s="8">
        <f>VLOOKUP(A50,'Coefs+OR for both models'!A:B,2,FALSE)</f>
        <v>3.3924243999999999E-2</v>
      </c>
      <c r="G50" s="8">
        <f t="shared" si="0"/>
        <v>-0.29788689848</v>
      </c>
      <c r="H50" s="8">
        <f t="shared" si="1"/>
        <v>0.21071433647999999</v>
      </c>
      <c r="I50">
        <f t="shared" si="2"/>
        <v>0.74238529990551916</v>
      </c>
      <c r="J50">
        <f t="shared" si="3"/>
        <v>1.2345596360330342</v>
      </c>
    </row>
    <row r="51" spans="1:10" x14ac:dyDescent="0.2">
      <c r="A51" s="1" t="s">
        <v>53</v>
      </c>
      <c r="B51" s="12">
        <v>4.2195458999999998E-2</v>
      </c>
      <c r="C51" s="12">
        <v>0.13021893600000001</v>
      </c>
      <c r="D51" s="12">
        <v>0.32403474100000002</v>
      </c>
      <c r="E51" s="12">
        <v>0.74591173200000005</v>
      </c>
      <c r="F51" s="8">
        <f>VLOOKUP(A51,'Coefs+OR for both models'!A:B,2,FALSE)</f>
        <v>7.4949177000000006E-2</v>
      </c>
      <c r="G51" s="8">
        <f t="shared" si="0"/>
        <v>-0.21303365556000003</v>
      </c>
      <c r="H51" s="8">
        <f t="shared" si="1"/>
        <v>0.29742457356000002</v>
      </c>
      <c r="I51">
        <f t="shared" si="2"/>
        <v>0.80812893872681568</v>
      </c>
      <c r="J51">
        <f t="shared" si="3"/>
        <v>1.3463868183582106</v>
      </c>
    </row>
    <row r="52" spans="1:10" x14ac:dyDescent="0.2">
      <c r="A52" s="1" t="s">
        <v>54</v>
      </c>
      <c r="B52" s="12">
        <v>1.0412556E-2</v>
      </c>
      <c r="C52" s="12">
        <v>0.16837828899999999</v>
      </c>
      <c r="D52" s="12">
        <v>6.1840252999999998E-2</v>
      </c>
      <c r="E52" s="12">
        <v>0.95069004800000001</v>
      </c>
      <c r="F52" s="8">
        <f>VLOOKUP(A52,'Coefs+OR for both models'!A:B,2,FALSE)</f>
        <v>-7.4279569000000004E-2</v>
      </c>
      <c r="G52" s="8">
        <f t="shared" si="0"/>
        <v>-0.31960889043999996</v>
      </c>
      <c r="H52" s="8">
        <f t="shared" si="1"/>
        <v>0.34043400243999999</v>
      </c>
      <c r="I52">
        <f t="shared" si="2"/>
        <v>0.72643309644962306</v>
      </c>
      <c r="J52">
        <f t="shared" si="3"/>
        <v>1.4055574735817564</v>
      </c>
    </row>
    <row r="53" spans="1:10" x14ac:dyDescent="0.2">
      <c r="A53" t="s">
        <v>62</v>
      </c>
      <c r="B53" s="8">
        <v>3.7329939999999999E-3</v>
      </c>
      <c r="C53" s="8">
        <v>1.1477390000000001E-3</v>
      </c>
      <c r="D53" s="8">
        <v>3.2524756020000001</v>
      </c>
      <c r="E53" s="8">
        <v>1.1440440000000001E-3</v>
      </c>
      <c r="F53" s="8">
        <f>VLOOKUP(A53,'Coefs+OR for both models'!A:B,2,FALSE)</f>
        <v>4.7334619999999999E-3</v>
      </c>
      <c r="G53" s="8">
        <f t="shared" si="0"/>
        <v>1.48342556E-3</v>
      </c>
      <c r="H53" s="8">
        <f t="shared" si="1"/>
        <v>5.9825624400000003E-3</v>
      </c>
      <c r="I53">
        <f t="shared" si="2"/>
        <v>1.001484526379957</v>
      </c>
      <c r="J53">
        <f t="shared" si="3"/>
        <v>1.0060004937071485</v>
      </c>
    </row>
    <row r="54" spans="1:10" x14ac:dyDescent="0.2">
      <c r="A54" t="s">
        <v>64</v>
      </c>
      <c r="B54" s="8">
        <v>2.3429010000000001E-3</v>
      </c>
      <c r="C54" s="13">
        <v>1.31235E-4</v>
      </c>
      <c r="D54" s="8">
        <v>17.852730789999999</v>
      </c>
      <c r="E54" s="13">
        <v>2.7499999999999999E-71</v>
      </c>
      <c r="F54" s="8">
        <f>VLOOKUP(A54,'Coefs+OR for both models'!A:B,2,FALSE)</f>
        <v>2.2540030000000001E-3</v>
      </c>
      <c r="G54" s="8">
        <f t="shared" si="0"/>
        <v>2.0856804E-3</v>
      </c>
      <c r="H54" s="8">
        <f t="shared" si="1"/>
        <v>2.6001216000000001E-3</v>
      </c>
      <c r="I54">
        <f t="shared" si="2"/>
        <v>1.0020878569442944</v>
      </c>
      <c r="J54">
        <f t="shared" si="3"/>
        <v>1.0026035048478172</v>
      </c>
    </row>
    <row r="55" spans="1:10" x14ac:dyDescent="0.2">
      <c r="I55">
        <v>1.002</v>
      </c>
      <c r="J55">
        <v>1.0029999999999999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70"/>
  <sheetViews>
    <sheetView tabSelected="1" zoomScaleNormal="100" workbookViewId="0">
      <selection activeCell="E21" sqref="E21"/>
    </sheetView>
  </sheetViews>
  <sheetFormatPr baseColWidth="10" defaultRowHeight="16" x14ac:dyDescent="0.2"/>
  <cols>
    <col min="1" max="1" width="33" style="10" bestFit="1" customWidth="1"/>
    <col min="2" max="2" width="10" style="8" bestFit="1" customWidth="1"/>
    <col min="3" max="3" width="5.5" style="8" bestFit="1" customWidth="1"/>
    <col min="4" max="4" width="17" style="8" bestFit="1" customWidth="1"/>
    <col min="5" max="6" width="10.83203125" style="8" bestFit="1" customWidth="1"/>
    <col min="7" max="7" width="12.1640625" style="8" bestFit="1" customWidth="1"/>
    <col min="8" max="8" width="24.5" style="8" bestFit="1" customWidth="1"/>
  </cols>
  <sheetData>
    <row r="1" spans="1:9" x14ac:dyDescent="0.2">
      <c r="A1" s="9" t="s">
        <v>0</v>
      </c>
      <c r="B1" s="4" t="s">
        <v>87</v>
      </c>
      <c r="C1" s="4" t="s">
        <v>89</v>
      </c>
      <c r="D1" s="4" t="s">
        <v>80</v>
      </c>
      <c r="E1" s="4" t="s">
        <v>94</v>
      </c>
      <c r="F1" s="4" t="s">
        <v>95</v>
      </c>
      <c r="G1" s="4" t="s">
        <v>93</v>
      </c>
      <c r="H1" s="4" t="s">
        <v>102</v>
      </c>
      <c r="I1" s="4"/>
    </row>
    <row r="2" spans="1:9" x14ac:dyDescent="0.2">
      <c r="A2" s="10" t="s">
        <v>12</v>
      </c>
      <c r="B2" s="6">
        <v>0.43</v>
      </c>
      <c r="C2" s="6">
        <v>0.3</v>
      </c>
      <c r="D2" s="6">
        <f>VLOOKUP(A2,'coefs in LR model only'!A:C,3,0)</f>
        <v>0.33545882399999999</v>
      </c>
      <c r="E2" s="6">
        <f>VLOOKUP(A2,'coefs in LR model only'!A:I,9,0)</f>
        <v>0.15317741931566758</v>
      </c>
      <c r="F2" s="6">
        <f>VLOOKUP(A2,'coefs in LR model only'!A:J,10,0)</f>
        <v>0.57054693908816412</v>
      </c>
      <c r="G2" s="8">
        <f>VLOOKUP(A2,'Coefs+OR for both models'!A:H,8,0)</f>
        <v>2.8034799999999998E-4</v>
      </c>
      <c r="H2" s="8" t="str">
        <f>_xlfn.CONCAT(FIXED(C2,2), " (", FIXED(E2,2), ", ", FIXED(F2,2),")")</f>
        <v>0.30 (0.15, 0.57)</v>
      </c>
      <c r="I2" s="8"/>
    </row>
    <row r="3" spans="1:9" x14ac:dyDescent="0.2">
      <c r="A3" s="10" t="s">
        <v>69</v>
      </c>
      <c r="B3" s="6" t="e">
        <v>#N/A</v>
      </c>
      <c r="C3" s="6">
        <v>1.41</v>
      </c>
      <c r="D3" s="6">
        <f>VLOOKUP(A3,'coefs in LR model only'!A:C,3,0)</f>
        <v>5.9881539999999997E-2</v>
      </c>
      <c r="E3" s="6">
        <f>VLOOKUP(A3,'coefs in LR model only'!A:I,9,0)</f>
        <v>1.2565307728138237</v>
      </c>
      <c r="F3" s="6">
        <f>VLOOKUP(A3,'coefs in LR model only'!A:J,10,0)</f>
        <v>1.5889766702276402</v>
      </c>
      <c r="G3" s="8">
        <f>VLOOKUP(A3,'Coefs+OR for both models'!A:H,8,0)</f>
        <v>7.7699999999999994E-9</v>
      </c>
      <c r="H3" s="8" t="str">
        <f t="shared" ref="H3:H66" si="0">_xlfn.CONCAT(FIXED(C3,2), " (", FIXED(E3,2), ", ", FIXED(F3,2),")")</f>
        <v>1.41 (1.26, 1.59)</v>
      </c>
      <c r="I3" s="8"/>
    </row>
    <row r="4" spans="1:9" x14ac:dyDescent="0.2">
      <c r="A4" s="10" t="s">
        <v>34</v>
      </c>
      <c r="B4" s="6">
        <v>0.72</v>
      </c>
      <c r="C4" s="6" t="e">
        <v>#N/A</v>
      </c>
      <c r="D4" s="6" t="e">
        <f>VLOOKUP(A4,'coefs in LR model only'!A:C,3,0)</f>
        <v>#N/A</v>
      </c>
      <c r="E4" s="6" t="e">
        <f>VLOOKUP(A4,'coefs in LR model only'!A:I,9,0)</f>
        <v>#N/A</v>
      </c>
      <c r="F4" s="6" t="e">
        <f>VLOOKUP(A4,'coefs in LR model only'!A:J,10,0)</f>
        <v>#N/A</v>
      </c>
      <c r="G4" s="8" t="e">
        <f>VLOOKUP(A4,'Coefs+OR for both models'!A:H,8,0)</f>
        <v>#N/A</v>
      </c>
      <c r="H4" s="8" t="e">
        <f t="shared" si="0"/>
        <v>#N/A</v>
      </c>
      <c r="I4" s="8"/>
    </row>
    <row r="5" spans="1:9" x14ac:dyDescent="0.2">
      <c r="A5" s="10" t="s">
        <v>21</v>
      </c>
      <c r="B5" s="6">
        <v>1.76</v>
      </c>
      <c r="C5" s="6">
        <v>2.56</v>
      </c>
      <c r="D5" s="6">
        <f>VLOOKUP(A5,'coefs in LR model only'!A:C,3,0)</f>
        <v>6.8936956999999993E-2</v>
      </c>
      <c r="E5" s="6">
        <f>VLOOKUP(A5,'coefs in LR model only'!A:I,9,0)</f>
        <v>2.2379167622493821</v>
      </c>
      <c r="F5" s="6">
        <f>VLOOKUP(A5,'coefs in LR model only'!A:J,10,0)</f>
        <v>2.9322741656530353</v>
      </c>
      <c r="G5" s="8">
        <f>VLOOKUP(A5,'Coefs+OR for both models'!A:H,8,0)</f>
        <v>2.1499999999999899E-42</v>
      </c>
      <c r="H5" s="8" t="str">
        <f t="shared" si="0"/>
        <v>2.56 (2.24, 2.93)</v>
      </c>
      <c r="I5" s="8"/>
    </row>
    <row r="6" spans="1:9" x14ac:dyDescent="0.2">
      <c r="A6" s="10" t="s">
        <v>31</v>
      </c>
      <c r="B6" s="6">
        <v>0.71</v>
      </c>
      <c r="C6" s="6">
        <v>0.65</v>
      </c>
      <c r="D6" s="6">
        <f>VLOOKUP(A6,'coefs in LR model only'!A:C,3,0)</f>
        <v>0.124897023</v>
      </c>
      <c r="E6" s="6">
        <f>VLOOKUP(A6,'coefs in LR model only'!A:I,9,0)</f>
        <v>0.5084429298815708</v>
      </c>
      <c r="F6" s="6">
        <f>VLOOKUP(A6,'coefs in LR model only'!A:J,10,0)</f>
        <v>0.82960468737504356</v>
      </c>
      <c r="G6" s="8">
        <f>VLOOKUP(A6,'Coefs+OR for both models'!A:H,8,0)</f>
        <v>5.4890699999999995E-4</v>
      </c>
      <c r="H6" s="8" t="str">
        <f t="shared" si="0"/>
        <v>0.65 (0.51, 0.83)</v>
      </c>
      <c r="I6" s="8"/>
    </row>
    <row r="7" spans="1:9" x14ac:dyDescent="0.2">
      <c r="A7" s="10" t="s">
        <v>22</v>
      </c>
      <c r="B7" s="6">
        <v>1.69</v>
      </c>
      <c r="C7" s="6">
        <v>1.73</v>
      </c>
      <c r="D7" s="6">
        <f>VLOOKUP(A7,'coefs in LR model only'!A:C,3,0)</f>
        <v>0.113326861</v>
      </c>
      <c r="E7" s="6">
        <f>VLOOKUP(A7,'coefs in LR model only'!A:I,9,0)</f>
        <v>1.3814127169054335</v>
      </c>
      <c r="F7" s="6">
        <f>VLOOKUP(A7,'coefs in LR model only'!A:J,10,0)</f>
        <v>2.1540460957179981</v>
      </c>
      <c r="G7" s="8">
        <f>VLOOKUP(A7,'Coefs+OR for both models'!A:H,8,0)</f>
        <v>1.5E-6</v>
      </c>
      <c r="H7" s="8" t="str">
        <f t="shared" si="0"/>
        <v>1.73 (1.38, 2.15)</v>
      </c>
      <c r="I7" s="8"/>
    </row>
    <row r="8" spans="1:9" x14ac:dyDescent="0.2">
      <c r="A8" s="10" t="s">
        <v>14</v>
      </c>
      <c r="B8" s="6">
        <v>0.45</v>
      </c>
      <c r="C8" s="6">
        <v>0.46</v>
      </c>
      <c r="D8" s="6">
        <f>VLOOKUP(A8,'coefs in LR model only'!A:C,3,0)</f>
        <v>0.15395513</v>
      </c>
      <c r="E8" s="6">
        <f>VLOOKUP(A8,'coefs in LR model only'!A:I,9,0)</f>
        <v>0.34012821728436821</v>
      </c>
      <c r="F8" s="6">
        <f>VLOOKUP(A8,'coefs in LR model only'!A:J,10,0)</f>
        <v>0.62192951462674151</v>
      </c>
      <c r="G8" s="8">
        <f>VLOOKUP(A8,'Coefs+OR for both models'!A:H,8,0)</f>
        <v>4.5400000000000002E-7</v>
      </c>
      <c r="H8" s="8" t="str">
        <f t="shared" si="0"/>
        <v>0.46 (0.34, 0.62)</v>
      </c>
      <c r="I8" s="8"/>
    </row>
    <row r="9" spans="1:9" x14ac:dyDescent="0.2">
      <c r="A9" s="10" t="s">
        <v>7</v>
      </c>
      <c r="B9" s="6">
        <v>4.57</v>
      </c>
      <c r="C9" s="6">
        <v>4.8499999999999996</v>
      </c>
      <c r="D9" s="6">
        <f>VLOOKUP(A9,'coefs in LR model only'!A:C,3,0)</f>
        <v>0.106179921</v>
      </c>
      <c r="E9" s="6">
        <f>VLOOKUP(A9,'coefs in LR model only'!A:I,9,0)</f>
        <v>3.9410859960297726</v>
      </c>
      <c r="F9" s="6">
        <f>VLOOKUP(A9,'coefs in LR model only'!A:J,10,0)</f>
        <v>5.9755826586784453</v>
      </c>
      <c r="G9" s="8">
        <f>VLOOKUP(A9,'Coefs+OR for both models'!A:H,8,0)</f>
        <v>4.6899999999999999E-50</v>
      </c>
      <c r="H9" s="8" t="str">
        <f t="shared" si="0"/>
        <v>4.85 (3.94, 5.98)</v>
      </c>
      <c r="I9" s="8"/>
    </row>
    <row r="10" spans="1:9" x14ac:dyDescent="0.2">
      <c r="A10" s="10" t="s">
        <v>38</v>
      </c>
      <c r="B10" s="6">
        <v>1.33</v>
      </c>
      <c r="C10" s="6">
        <v>1.43</v>
      </c>
      <c r="D10" s="6">
        <f>VLOOKUP(A10,'coefs in LR model only'!A:C,3,0)</f>
        <v>3.9334256999999997E-2</v>
      </c>
      <c r="E10" s="6">
        <f>VLOOKUP(A10,'coefs in LR model only'!A:I,9,0)</f>
        <v>1.3261146157959043</v>
      </c>
      <c r="F10" s="6">
        <f>VLOOKUP(A10,'coefs in LR model only'!A:J,10,0)</f>
        <v>1.5471949979152932</v>
      </c>
      <c r="G10" s="8">
        <f>VLOOKUP(A10,'Coefs+OR for both models'!A:H,8,0)</f>
        <v>6.49E-20</v>
      </c>
      <c r="H10" s="8" t="str">
        <f t="shared" si="0"/>
        <v>1.43 (1.33, 1.55)</v>
      </c>
      <c r="I10" s="8"/>
    </row>
    <row r="11" spans="1:9" x14ac:dyDescent="0.2">
      <c r="A11" s="11" t="s">
        <v>13</v>
      </c>
      <c r="B11" s="7">
        <v>2.2400000000000002</v>
      </c>
      <c r="C11" s="7">
        <v>2.69</v>
      </c>
      <c r="D11" s="7">
        <f>VLOOKUP(A11,'coefs in LR model only'!A:C,3,0)</f>
        <v>0.58049732099999996</v>
      </c>
      <c r="E11" s="7">
        <f>VLOOKUP(A11,'coefs in LR model only'!A:I,9,0)</f>
        <v>0.86172487210274484</v>
      </c>
      <c r="F11" s="7">
        <f>VLOOKUP(A11,'coefs in LR model only'!A:J,10,0)</f>
        <v>8.3873973616347026</v>
      </c>
      <c r="G11" s="12">
        <f>VLOOKUP(A11,'Coefs+OR for both models'!A:H,8,0)</f>
        <v>8.8449310000000003E-2</v>
      </c>
      <c r="H11" s="12" t="str">
        <f t="shared" si="0"/>
        <v>2.69 (0.86, 8.39)</v>
      </c>
      <c r="I11" s="8"/>
    </row>
    <row r="12" spans="1:9" x14ac:dyDescent="0.2">
      <c r="A12" s="10" t="s">
        <v>15</v>
      </c>
      <c r="B12" s="6">
        <v>0.48</v>
      </c>
      <c r="C12" s="6">
        <v>0.52</v>
      </c>
      <c r="D12" s="6">
        <f>VLOOKUP(A12,'coefs in LR model only'!A:C,3,0)</f>
        <v>4.1643821999999997E-2</v>
      </c>
      <c r="E12" s="6">
        <f>VLOOKUP(A12,'coefs in LR model only'!A:I,9,0)</f>
        <v>0.47518208901062542</v>
      </c>
      <c r="F12" s="6">
        <f>VLOOKUP(A12,'coefs in LR model only'!A:J,10,0)</f>
        <v>0.55944311872251162</v>
      </c>
      <c r="G12" s="8">
        <f>VLOOKUP(A12,'Coefs+OR for both models'!A:H,8,0)</f>
        <v>5.6499999999999901E-57</v>
      </c>
      <c r="H12" s="8" t="str">
        <f t="shared" si="0"/>
        <v>0.52 (0.48, 0.56)</v>
      </c>
      <c r="I12" s="8"/>
    </row>
    <row r="13" spans="1:9" x14ac:dyDescent="0.2">
      <c r="A13" s="10" t="s">
        <v>39</v>
      </c>
      <c r="B13" s="6">
        <v>1.33</v>
      </c>
      <c r="C13" s="6" t="e">
        <v>#N/A</v>
      </c>
      <c r="D13" s="6" t="e">
        <f>VLOOKUP(A13,'coefs in LR model only'!A:C,3,0)</f>
        <v>#N/A</v>
      </c>
      <c r="E13" s="6" t="e">
        <f>VLOOKUP(A13,'coefs in LR model only'!A:I,9,0)</f>
        <v>#N/A</v>
      </c>
      <c r="F13" s="6" t="e">
        <f>VLOOKUP(A13,'coefs in LR model only'!A:J,10,0)</f>
        <v>#N/A</v>
      </c>
      <c r="G13" s="8" t="e">
        <f>VLOOKUP(A13,'Coefs+OR for both models'!A:H,8,0)</f>
        <v>#N/A</v>
      </c>
      <c r="H13" s="8" t="e">
        <f t="shared" si="0"/>
        <v>#N/A</v>
      </c>
      <c r="I13" s="8"/>
    </row>
    <row r="14" spans="1:9" x14ac:dyDescent="0.2">
      <c r="A14" s="11" t="s">
        <v>51</v>
      </c>
      <c r="B14" s="7">
        <v>0.91</v>
      </c>
      <c r="C14" s="7">
        <v>0.84</v>
      </c>
      <c r="D14" s="7">
        <f>VLOOKUP(A14,'coefs in LR model only'!A:C,3,0)</f>
        <v>0.32133557400000001</v>
      </c>
      <c r="E14" s="7">
        <f>VLOOKUP(A14,'coefs in LR model only'!A:I,9,0)</f>
        <v>0.44508956160173974</v>
      </c>
      <c r="F14" s="7">
        <f>VLOOKUP(A14,'coefs in LR model only'!A:J,10,0)</f>
        <v>1.5685563829282927</v>
      </c>
      <c r="G14" s="12">
        <f>VLOOKUP(A14,'Coefs+OR for both models'!A:H,8,0)</f>
        <v>0.57608644399999998</v>
      </c>
      <c r="H14" s="12" t="str">
        <f t="shared" si="0"/>
        <v>0.84 (0.45, 1.57)</v>
      </c>
      <c r="I14" s="8"/>
    </row>
    <row r="15" spans="1:9" x14ac:dyDescent="0.2">
      <c r="A15" s="11" t="s">
        <v>10</v>
      </c>
      <c r="B15" s="7">
        <v>2.61</v>
      </c>
      <c r="C15" s="7">
        <v>2.94</v>
      </c>
      <c r="D15" s="7">
        <f>VLOOKUP(A15,'coefs in LR model only'!A:C,3,0)</f>
        <v>0.72323721799999996</v>
      </c>
      <c r="E15" s="7">
        <f>VLOOKUP(A15,'coefs in LR model only'!A:I,9,0)</f>
        <v>0.71150544809890015</v>
      </c>
      <c r="F15" s="7">
        <f>VLOOKUP(A15,'coefs in LR model only'!A:J,10,0)</f>
        <v>12.118311918392116</v>
      </c>
      <c r="G15" s="12">
        <f>VLOOKUP(A15,'Coefs+OR for both models'!A:H,8,0)</f>
        <v>0.136388171</v>
      </c>
      <c r="H15" s="12" t="str">
        <f t="shared" si="0"/>
        <v>2.94 (0.71, 12.12)</v>
      </c>
      <c r="I15" s="8"/>
    </row>
    <row r="16" spans="1:9" x14ac:dyDescent="0.2">
      <c r="A16" s="10" t="s">
        <v>48</v>
      </c>
      <c r="B16" s="6">
        <v>0.86</v>
      </c>
      <c r="C16" s="6" t="e">
        <v>#N/A</v>
      </c>
      <c r="D16" s="6" t="e">
        <f>VLOOKUP(A16,'coefs in LR model only'!A:C,3,0)</f>
        <v>#N/A</v>
      </c>
      <c r="E16" s="6" t="e">
        <f>VLOOKUP(A16,'coefs in LR model only'!A:I,9,0)</f>
        <v>#N/A</v>
      </c>
      <c r="F16" s="6" t="e">
        <f>VLOOKUP(A16,'coefs in LR model only'!A:J,10,0)</f>
        <v>#N/A</v>
      </c>
      <c r="G16" s="8" t="e">
        <f>VLOOKUP(A16,'Coefs+OR for both models'!A:H,8,0)</f>
        <v>#N/A</v>
      </c>
      <c r="H16" s="8" t="e">
        <f t="shared" si="0"/>
        <v>#N/A</v>
      </c>
      <c r="I16" s="8"/>
    </row>
    <row r="17" spans="1:9" x14ac:dyDescent="0.2">
      <c r="A17" s="11" t="s">
        <v>50</v>
      </c>
      <c r="B17" s="7">
        <v>0.89</v>
      </c>
      <c r="C17" s="7">
        <v>0.86</v>
      </c>
      <c r="D17" s="7">
        <f>VLOOKUP(A17,'coefs in LR model only'!A:C,3,0)</f>
        <v>0.41271376399999998</v>
      </c>
      <c r="E17" s="7">
        <f>VLOOKUP(A17,'coefs in LR model only'!A:I,9,0)</f>
        <v>0.384314221657927</v>
      </c>
      <c r="F17" s="7">
        <f>VLOOKUP(A17,'coefs in LR model only'!A:J,10,0)</f>
        <v>1.9377803710985717</v>
      </c>
      <c r="G17" s="12">
        <f>VLOOKUP(A17,'Coefs+OR for both models'!A:H,8,0)</f>
        <v>0.72102472100000004</v>
      </c>
      <c r="H17" s="12" t="str">
        <f t="shared" si="0"/>
        <v>0.86 (0.38, 1.94)</v>
      </c>
      <c r="I17" s="8"/>
    </row>
    <row r="18" spans="1:9" x14ac:dyDescent="0.2">
      <c r="A18" s="10" t="s">
        <v>41</v>
      </c>
      <c r="B18" s="6">
        <v>0.77</v>
      </c>
      <c r="C18" s="6">
        <v>0.77</v>
      </c>
      <c r="D18" s="6">
        <f>VLOOKUP(A18,'coefs in LR model only'!A:C,3,0)</f>
        <v>2.8400180000000001E-2</v>
      </c>
      <c r="E18" s="6">
        <f>VLOOKUP(A18,'coefs in LR model only'!A:I,9,0)</f>
        <v>0.73089594475570352</v>
      </c>
      <c r="F18" s="6">
        <f>VLOOKUP(A18,'coefs in LR model only'!A:J,10,0)</f>
        <v>0.81696790390485252</v>
      </c>
      <c r="G18" s="8">
        <f>VLOOKUP(A18,'Coefs+OR for both models'!A:H,8,0)</f>
        <v>1.0999999999999999E-19</v>
      </c>
      <c r="H18" s="8" t="str">
        <f t="shared" si="0"/>
        <v>0.77 (0.73, 0.82)</v>
      </c>
      <c r="I18" s="8"/>
    </row>
    <row r="19" spans="1:9" x14ac:dyDescent="0.2">
      <c r="A19" s="11" t="s">
        <v>19</v>
      </c>
      <c r="B19" s="7">
        <v>0.51</v>
      </c>
      <c r="C19" s="7">
        <v>0.5</v>
      </c>
      <c r="D19" s="7">
        <f>VLOOKUP(A19,'coefs in LR model only'!A:C,3,0)</f>
        <v>0.34991668300000001</v>
      </c>
      <c r="E19" s="7">
        <f>VLOOKUP(A19,'coefs in LR model only'!A:I,9,0)</f>
        <v>0.25408144324033344</v>
      </c>
      <c r="F19" s="7">
        <f>VLOOKUP(A19,'coefs in LR model only'!A:J,10,0)</f>
        <v>1.0015742144567308</v>
      </c>
      <c r="G19" s="12">
        <f>VLOOKUP(A19,'Coefs+OR for both models'!A:H,8,0)</f>
        <v>5.0523527999999998E-2</v>
      </c>
      <c r="H19" s="12" t="str">
        <f t="shared" si="0"/>
        <v>0.50 (0.25, 1.00)</v>
      </c>
      <c r="I19" s="8"/>
    </row>
    <row r="20" spans="1:9" x14ac:dyDescent="0.2">
      <c r="A20" s="10" t="s">
        <v>62</v>
      </c>
      <c r="B20" s="6">
        <v>1</v>
      </c>
      <c r="C20" s="6">
        <v>1</v>
      </c>
      <c r="D20" s="6">
        <f>VLOOKUP(A20,'coefs in LR model only'!A:C,3,0)</f>
        <v>1.1477390000000001E-3</v>
      </c>
      <c r="E20" s="6">
        <f>VLOOKUP(A20,'coefs in LR model only'!A:I,9,0)</f>
        <v>1.001484526379957</v>
      </c>
      <c r="F20" s="6">
        <f>VLOOKUP(A20,'coefs in LR model only'!A:J,10,0)</f>
        <v>1.0060004937071485</v>
      </c>
      <c r="G20" s="8">
        <f>VLOOKUP(A20,'Coefs+OR for both models'!A:H,8,0)</f>
        <v>1.1440440000000001E-3</v>
      </c>
      <c r="H20" s="8" t="str">
        <f t="shared" si="0"/>
        <v>1.00 (1.00, 1.01)</v>
      </c>
      <c r="I20" s="8"/>
    </row>
    <row r="21" spans="1:9" x14ac:dyDescent="0.2">
      <c r="A21" s="10" t="s">
        <v>64</v>
      </c>
      <c r="B21" s="6">
        <v>1</v>
      </c>
      <c r="C21" s="6">
        <v>1</v>
      </c>
      <c r="D21" s="6">
        <f>VLOOKUP(A21,'coefs in LR model only'!A:C,3,0)</f>
        <v>1.31235E-4</v>
      </c>
      <c r="E21" s="6">
        <f>VLOOKUP(A21,'coefs in LR model only'!A:I,9,0)</f>
        <v>1.0020878569442944</v>
      </c>
      <c r="F21" s="6">
        <f>VLOOKUP(A21,'coefs in LR model only'!A:J,10,0)</f>
        <v>1.0026035048478172</v>
      </c>
      <c r="G21" s="8">
        <f>VLOOKUP(A21,'Coefs+OR for both models'!A:H,8,0)</f>
        <v>2.7499999999999999E-71</v>
      </c>
      <c r="H21" s="8" t="str">
        <f t="shared" si="0"/>
        <v>1.00 (1.00, 1.00)</v>
      </c>
      <c r="I21" s="8"/>
    </row>
    <row r="22" spans="1:9" x14ac:dyDescent="0.2">
      <c r="A22" s="10" t="s">
        <v>27</v>
      </c>
      <c r="B22" s="6">
        <v>1.55</v>
      </c>
      <c r="C22" s="6" t="e">
        <v>#N/A</v>
      </c>
      <c r="D22" s="6" t="e">
        <f>VLOOKUP(A22,'coefs in LR model only'!A:C,3,0)</f>
        <v>#N/A</v>
      </c>
      <c r="E22" s="6" t="e">
        <f>VLOOKUP(A22,'coefs in LR model only'!A:I,9,0)</f>
        <v>#N/A</v>
      </c>
      <c r="F22" s="6" t="e">
        <f>VLOOKUP(A22,'coefs in LR model only'!A:J,10,0)</f>
        <v>#N/A</v>
      </c>
      <c r="G22" s="8" t="e">
        <f>VLOOKUP(A22,'Coefs+OR for both models'!A:H,8,0)</f>
        <v>#N/A</v>
      </c>
      <c r="H22" s="8" t="e">
        <f t="shared" si="0"/>
        <v>#N/A</v>
      </c>
      <c r="I22" s="8"/>
    </row>
    <row r="23" spans="1:9" x14ac:dyDescent="0.2">
      <c r="A23" s="10" t="s">
        <v>59</v>
      </c>
      <c r="B23" s="6">
        <v>1.03</v>
      </c>
      <c r="C23" s="6" t="e">
        <v>#N/A</v>
      </c>
      <c r="D23" s="6" t="e">
        <f>VLOOKUP(A23,'coefs in LR model only'!A:C,3,0)</f>
        <v>#N/A</v>
      </c>
      <c r="E23" s="6" t="e">
        <f>VLOOKUP(A23,'coefs in LR model only'!A:I,9,0)</f>
        <v>#N/A</v>
      </c>
      <c r="F23" s="6" t="e">
        <f>VLOOKUP(A23,'coefs in LR model only'!A:J,10,0)</f>
        <v>#N/A</v>
      </c>
      <c r="G23" s="8" t="e">
        <f>VLOOKUP(A23,'Coefs+OR for both models'!A:H,8,0)</f>
        <v>#N/A</v>
      </c>
      <c r="H23" s="8" t="e">
        <f t="shared" si="0"/>
        <v>#N/A</v>
      </c>
      <c r="I23" s="8"/>
    </row>
    <row r="24" spans="1:9" x14ac:dyDescent="0.2">
      <c r="A24" s="10" t="s">
        <v>47</v>
      </c>
      <c r="B24" s="6">
        <v>1.1599999999999999</v>
      </c>
      <c r="C24" s="6" t="e">
        <v>#N/A</v>
      </c>
      <c r="D24" s="6" t="e">
        <f>VLOOKUP(A24,'coefs in LR model only'!A:C,3,0)</f>
        <v>#N/A</v>
      </c>
      <c r="E24" s="6" t="e">
        <f>VLOOKUP(A24,'coefs in LR model only'!A:I,9,0)</f>
        <v>#N/A</v>
      </c>
      <c r="F24" s="6" t="e">
        <f>VLOOKUP(A24,'coefs in LR model only'!A:J,10,0)</f>
        <v>#N/A</v>
      </c>
      <c r="G24" s="8" t="e">
        <f>VLOOKUP(A24,'Coefs+OR for both models'!A:H,8,0)</f>
        <v>#N/A</v>
      </c>
      <c r="H24" s="8" t="e">
        <f t="shared" si="0"/>
        <v>#N/A</v>
      </c>
      <c r="I24" s="8"/>
    </row>
    <row r="25" spans="1:9" x14ac:dyDescent="0.2">
      <c r="A25" s="10" t="s">
        <v>63</v>
      </c>
      <c r="B25" s="6">
        <v>1</v>
      </c>
      <c r="C25" s="6" t="e">
        <v>#N/A</v>
      </c>
      <c r="D25" s="6" t="e">
        <f>VLOOKUP(A25,'coefs in LR model only'!A:C,3,0)</f>
        <v>#N/A</v>
      </c>
      <c r="E25" s="6" t="e">
        <f>VLOOKUP(A25,'coefs in LR model only'!A:I,9,0)</f>
        <v>#N/A</v>
      </c>
      <c r="F25" s="6" t="e">
        <f>VLOOKUP(A25,'coefs in LR model only'!A:J,10,0)</f>
        <v>#N/A</v>
      </c>
      <c r="G25" s="8" t="e">
        <f>VLOOKUP(A25,'Coefs+OR for both models'!A:H,8,0)</f>
        <v>#N/A</v>
      </c>
      <c r="H25" s="8" t="e">
        <f t="shared" si="0"/>
        <v>#N/A</v>
      </c>
      <c r="I25" s="8"/>
    </row>
    <row r="26" spans="1:9" x14ac:dyDescent="0.2">
      <c r="A26" s="10" t="s">
        <v>49</v>
      </c>
      <c r="B26" s="6">
        <v>1.1200000000000001</v>
      </c>
      <c r="C26" s="6" t="e">
        <v>#N/A</v>
      </c>
      <c r="D26" s="6" t="e">
        <f>VLOOKUP(A26,'coefs in LR model only'!A:C,3,0)</f>
        <v>#N/A</v>
      </c>
      <c r="E26" s="6" t="e">
        <f>VLOOKUP(A26,'coefs in LR model only'!A:I,9,0)</f>
        <v>#N/A</v>
      </c>
      <c r="F26" s="6" t="e">
        <f>VLOOKUP(A26,'coefs in LR model only'!A:J,10,0)</f>
        <v>#N/A</v>
      </c>
      <c r="G26" s="8" t="e">
        <f>VLOOKUP(A26,'Coefs+OR for both models'!A:H,8,0)</f>
        <v>#N/A</v>
      </c>
      <c r="H26" s="8" t="e">
        <f t="shared" si="0"/>
        <v>#N/A</v>
      </c>
      <c r="I26" s="8"/>
    </row>
    <row r="27" spans="1:9" x14ac:dyDescent="0.2">
      <c r="A27" s="10" t="s">
        <v>30</v>
      </c>
      <c r="B27" s="6">
        <v>1.46</v>
      </c>
      <c r="C27" s="6" t="e">
        <v>#N/A</v>
      </c>
      <c r="D27" s="6" t="e">
        <f>VLOOKUP(A27,'coefs in LR model only'!A:C,3,0)</f>
        <v>#N/A</v>
      </c>
      <c r="E27" s="6" t="e">
        <f>VLOOKUP(A27,'coefs in LR model only'!A:I,9,0)</f>
        <v>#N/A</v>
      </c>
      <c r="F27" s="6" t="e">
        <f>VLOOKUP(A27,'coefs in LR model only'!A:J,10,0)</f>
        <v>#N/A</v>
      </c>
      <c r="G27" s="8" t="e">
        <f>VLOOKUP(A27,'Coefs+OR for both models'!A:H,8,0)</f>
        <v>#N/A</v>
      </c>
      <c r="H27" s="8" t="e">
        <f t="shared" si="0"/>
        <v>#N/A</v>
      </c>
      <c r="I27" s="8"/>
    </row>
    <row r="28" spans="1:9" x14ac:dyDescent="0.2">
      <c r="A28" s="10" t="s">
        <v>52</v>
      </c>
      <c r="B28" s="6">
        <v>1.0900000000000001</v>
      </c>
      <c r="C28" s="6" t="e">
        <v>#N/A</v>
      </c>
      <c r="D28" s="6" t="e">
        <f>VLOOKUP(A28,'coefs in LR model only'!A:C,3,0)</f>
        <v>#N/A</v>
      </c>
      <c r="E28" s="6" t="e">
        <f>VLOOKUP(A28,'coefs in LR model only'!A:I,9,0)</f>
        <v>#N/A</v>
      </c>
      <c r="F28" s="6" t="e">
        <f>VLOOKUP(A28,'coefs in LR model only'!A:J,10,0)</f>
        <v>#N/A</v>
      </c>
      <c r="G28" s="8" t="e">
        <f>VLOOKUP(A28,'Coefs+OR for both models'!A:H,8,0)</f>
        <v>#N/A</v>
      </c>
      <c r="H28" s="8" t="e">
        <f t="shared" si="0"/>
        <v>#N/A</v>
      </c>
      <c r="I28" s="8"/>
    </row>
    <row r="29" spans="1:9" x14ac:dyDescent="0.2">
      <c r="A29" s="10" t="s">
        <v>42</v>
      </c>
      <c r="B29" s="6">
        <v>0.77</v>
      </c>
      <c r="C29" s="6" t="e">
        <v>#N/A</v>
      </c>
      <c r="D29" s="6" t="e">
        <f>VLOOKUP(A29,'coefs in LR model only'!A:C,3,0)</f>
        <v>#N/A</v>
      </c>
      <c r="E29" s="6" t="e">
        <f>VLOOKUP(A29,'coefs in LR model only'!A:I,9,0)</f>
        <v>#N/A</v>
      </c>
      <c r="F29" s="6" t="e">
        <f>VLOOKUP(A29,'coefs in LR model only'!A:J,10,0)</f>
        <v>#N/A</v>
      </c>
      <c r="G29" s="8" t="e">
        <f>VLOOKUP(A29,'Coefs+OR for both models'!A:H,8,0)</f>
        <v>#N/A</v>
      </c>
      <c r="H29" s="8" t="e">
        <f t="shared" si="0"/>
        <v>#N/A</v>
      </c>
      <c r="I29" s="8"/>
    </row>
    <row r="30" spans="1:9" x14ac:dyDescent="0.2">
      <c r="A30" s="11" t="s">
        <v>44</v>
      </c>
      <c r="B30" s="7">
        <v>1.21</v>
      </c>
      <c r="C30" s="7">
        <v>1.47</v>
      </c>
      <c r="D30" s="7">
        <f>VLOOKUP(A30,'coefs in LR model only'!A:C,3,0)</f>
        <v>0.28596958099999997</v>
      </c>
      <c r="E30" s="7">
        <f>VLOOKUP(A30,'coefs in LR model only'!A:I,9,0)</f>
        <v>0.84033688097801074</v>
      </c>
      <c r="F30" s="7">
        <f>VLOOKUP(A30,'coefs in LR model only'!A:J,10,0)</f>
        <v>2.578088773006872</v>
      </c>
      <c r="G30" s="12">
        <f>VLOOKUP(A30,'Coefs+OR for both models'!A:H,8,0)</f>
        <v>0.176468086</v>
      </c>
      <c r="H30" s="12" t="str">
        <f t="shared" si="0"/>
        <v>1.47 (0.84, 2.58)</v>
      </c>
      <c r="I30" s="8"/>
    </row>
    <row r="31" spans="1:9" x14ac:dyDescent="0.2">
      <c r="A31" s="11" t="s">
        <v>70</v>
      </c>
      <c r="B31" s="7" t="e">
        <v>#N/A</v>
      </c>
      <c r="C31" s="7">
        <v>1.21</v>
      </c>
      <c r="D31" s="7">
        <f>VLOOKUP(A31,'coefs in LR model only'!A:C,3,0)</f>
        <v>0.28591072699999998</v>
      </c>
      <c r="E31" s="7">
        <f>VLOOKUP(A31,'coefs in LR model only'!A:I,9,0)</f>
        <v>0.69105261563756282</v>
      </c>
      <c r="F31" s="7">
        <f>VLOOKUP(A31,'coefs in LR model only'!A:J,10,0)</f>
        <v>2.1196070885552234</v>
      </c>
      <c r="G31" s="12">
        <f>VLOOKUP(A31,'Coefs+OR for both models'!A:H,8,0)</f>
        <v>0.50445213799999999</v>
      </c>
      <c r="H31" s="12" t="str">
        <f t="shared" si="0"/>
        <v>1.21 (0.69, 2.12)</v>
      </c>
      <c r="I31" s="8"/>
    </row>
    <row r="32" spans="1:9" x14ac:dyDescent="0.2">
      <c r="A32" s="10" t="s">
        <v>24</v>
      </c>
      <c r="B32" s="6">
        <v>1.58</v>
      </c>
      <c r="C32" s="6">
        <v>1.98</v>
      </c>
      <c r="D32" s="6">
        <f>VLOOKUP(A32,'coefs in LR model only'!A:C,3,0)</f>
        <v>0.29573627699999999</v>
      </c>
      <c r="E32" s="6">
        <f>VLOOKUP(A32,'coefs in LR model only'!A:I,9,0)</f>
        <v>1.1097677742845238</v>
      </c>
      <c r="F32" s="6">
        <f>VLOOKUP(A32,'coefs in LR model only'!A:J,10,0)</f>
        <v>3.5375591614701083</v>
      </c>
      <c r="G32" s="8">
        <f>VLOOKUP(A32,'Coefs+OR for both models'!A:H,8,0)</f>
        <v>2.0768068000000001E-2</v>
      </c>
      <c r="H32" s="8" t="str">
        <f t="shared" si="0"/>
        <v>1.98 (1.11, 3.54)</v>
      </c>
      <c r="I32" s="8"/>
    </row>
    <row r="33" spans="1:9" x14ac:dyDescent="0.2">
      <c r="A33" s="10" t="s">
        <v>8</v>
      </c>
      <c r="B33" s="6">
        <v>0.28999999999999998</v>
      </c>
      <c r="C33" s="6">
        <v>0.26</v>
      </c>
      <c r="D33" s="6">
        <f>VLOOKUP(A33,'coefs in LR model only'!A:C,3,0)</f>
        <v>0.400822925</v>
      </c>
      <c r="E33" s="6">
        <f>VLOOKUP(A33,'coefs in LR model only'!A:I,9,0)</f>
        <v>0.11683696295456178</v>
      </c>
      <c r="F33" s="6">
        <f>VLOOKUP(A33,'coefs in LR model only'!A:J,10,0)</f>
        <v>0.56228303829863135</v>
      </c>
      <c r="G33" s="8">
        <f>VLOOKUP(A33,'Coefs+OR for both models'!A:H,8,0)</f>
        <v>6.8273599999999998E-4</v>
      </c>
      <c r="H33" s="8" t="str">
        <f t="shared" si="0"/>
        <v>0.26 (0.12, 0.56)</v>
      </c>
      <c r="I33" s="8"/>
    </row>
    <row r="34" spans="1:9" x14ac:dyDescent="0.2">
      <c r="A34" s="10" t="s">
        <v>2</v>
      </c>
      <c r="B34" s="6">
        <v>7.0000000000000007E-2</v>
      </c>
      <c r="C34" s="6">
        <v>0.05</v>
      </c>
      <c r="D34" s="6">
        <f>VLOOKUP(A34,'coefs in LR model only'!A:C,3,0)</f>
        <v>0.48199575300000003</v>
      </c>
      <c r="E34" s="6">
        <f>VLOOKUP(A34,'coefs in LR model only'!A:I,9,0)</f>
        <v>2.0282988992935833E-2</v>
      </c>
      <c r="F34" s="6">
        <f>VLOOKUP(A34,'coefs in LR model only'!A:J,10,0)</f>
        <v>0.13418318328750142</v>
      </c>
      <c r="G34" s="8">
        <f>VLOOKUP(A34,'Coefs+OR for both models'!A:H,8,0)</f>
        <v>8.9500000000000001E-10</v>
      </c>
      <c r="H34" s="8" t="str">
        <f t="shared" si="0"/>
        <v>0.05 (0.02, 0.13)</v>
      </c>
      <c r="I34" s="8"/>
    </row>
    <row r="35" spans="1:9" x14ac:dyDescent="0.2">
      <c r="A35" s="10" t="s">
        <v>28</v>
      </c>
      <c r="B35" s="6">
        <v>1.48</v>
      </c>
      <c r="C35" s="6">
        <v>1.84</v>
      </c>
      <c r="D35" s="6">
        <f>VLOOKUP(A35,'coefs in LR model only'!A:C,3,0)</f>
        <v>0.28880947200000001</v>
      </c>
      <c r="E35" s="6">
        <f>VLOOKUP(A35,'coefs in LR model only'!A:I,9,0)</f>
        <v>1.0469846783053145</v>
      </c>
      <c r="F35" s="6">
        <f>VLOOKUP(A35,'coefs in LR model only'!A:J,10,0)</f>
        <v>3.248026003009294</v>
      </c>
      <c r="G35" s="8">
        <f>VLOOKUP(A35,'Coefs+OR for both models'!A:H,8,0)</f>
        <v>3.4092341999999998E-2</v>
      </c>
      <c r="H35" s="8" t="str">
        <f t="shared" si="0"/>
        <v>1.84 (1.05, 3.25)</v>
      </c>
      <c r="I35" s="8"/>
    </row>
    <row r="36" spans="1:9" x14ac:dyDescent="0.2">
      <c r="A36" s="11" t="s">
        <v>23</v>
      </c>
      <c r="B36" s="7">
        <v>0.61</v>
      </c>
      <c r="C36" s="7">
        <v>0.72</v>
      </c>
      <c r="D36" s="7">
        <f>VLOOKUP(A36,'coefs in LR model only'!A:C,3,0)</f>
        <v>0.306449788</v>
      </c>
      <c r="E36" s="7">
        <f>VLOOKUP(A36,'coefs in LR model only'!A:I,9,0)</f>
        <v>0.39582967555789111</v>
      </c>
      <c r="F36" s="7">
        <f>VLOOKUP(A36,'coefs in LR model only'!A:J,10,0)</f>
        <v>1.3158882284139735</v>
      </c>
      <c r="G36" s="12">
        <f>VLOOKUP(A36,'Coefs+OR for both models'!A:H,8,0)</f>
        <v>0.28722950000000003</v>
      </c>
      <c r="H36" s="12" t="str">
        <f t="shared" si="0"/>
        <v>0.72 (0.40, 1.32)</v>
      </c>
      <c r="I36" s="8"/>
    </row>
    <row r="37" spans="1:9" x14ac:dyDescent="0.2">
      <c r="A37" s="11" t="s">
        <v>25</v>
      </c>
      <c r="B37" s="7">
        <v>0.64</v>
      </c>
      <c r="C37" s="7">
        <v>0.76</v>
      </c>
      <c r="D37" s="7">
        <f>VLOOKUP(A37,'coefs in LR model only'!A:C,3,0)</f>
        <v>0.28927135500000001</v>
      </c>
      <c r="E37" s="7">
        <f>VLOOKUP(A37,'coefs in LR model only'!A:I,9,0)</f>
        <v>0.43035379315890798</v>
      </c>
      <c r="F37" s="7">
        <f>VLOOKUP(A37,'coefs in LR model only'!A:J,10,0)</f>
        <v>1.337491811866081</v>
      </c>
      <c r="G37" s="12">
        <f>VLOOKUP(A37,'Coefs+OR for both models'!A:H,8,0)</f>
        <v>0.33971471399999997</v>
      </c>
      <c r="H37" s="12" t="str">
        <f t="shared" si="0"/>
        <v>0.76 (0.43, 1.34)</v>
      </c>
      <c r="I37" s="8"/>
    </row>
    <row r="38" spans="1:9" x14ac:dyDescent="0.2">
      <c r="A38" s="10" t="s">
        <v>4</v>
      </c>
      <c r="B38" s="6">
        <v>0.09</v>
      </c>
      <c r="C38" s="6">
        <v>0.09</v>
      </c>
      <c r="D38" s="6">
        <f>VLOOKUP(A38,'coefs in LR model only'!A:C,3,0)</f>
        <v>0.30417730999999998</v>
      </c>
      <c r="E38" s="6">
        <f>VLOOKUP(A38,'coefs in LR model only'!A:I,9,0)</f>
        <v>5.1645952906737201E-2</v>
      </c>
      <c r="F38" s="6">
        <f>VLOOKUP(A38,'coefs in LR model only'!A:J,10,0)</f>
        <v>0.17016812034638953</v>
      </c>
      <c r="G38" s="8">
        <f>VLOOKUP(A38,'Coefs+OR for both models'!A:H,8,0)</f>
        <v>7.1300000000000003E-15</v>
      </c>
      <c r="H38" s="8" t="str">
        <f t="shared" si="0"/>
        <v>0.09 (0.05, 0.17)</v>
      </c>
      <c r="I38" s="8"/>
    </row>
    <row r="39" spans="1:9" x14ac:dyDescent="0.2">
      <c r="A39" s="11" t="s">
        <v>35</v>
      </c>
      <c r="B39" s="7">
        <v>1.38</v>
      </c>
      <c r="C39" s="7">
        <v>1.71</v>
      </c>
      <c r="D39" s="7">
        <f>VLOOKUP(A39,'coefs in LR model only'!A:C,3,0)</f>
        <v>0.28653255999999999</v>
      </c>
      <c r="E39" s="7">
        <f>VLOOKUP(A39,'coefs in LR model only'!A:I,9,0)</f>
        <v>0.97475643875133033</v>
      </c>
      <c r="F39" s="7">
        <f>VLOOKUP(A39,'coefs in LR model only'!A:J,10,0)</f>
        <v>2.9970845203844103</v>
      </c>
      <c r="G39" s="12">
        <f>VLOOKUP(A39,'Coefs+OR for both models'!A:H,8,0)</f>
        <v>6.1377134999999999E-2</v>
      </c>
      <c r="H39" s="12" t="str">
        <f t="shared" si="0"/>
        <v>1.71 (0.97, 3.00)</v>
      </c>
      <c r="I39" s="8"/>
    </row>
    <row r="40" spans="1:9" x14ac:dyDescent="0.2">
      <c r="A40" s="10" t="s">
        <v>3</v>
      </c>
      <c r="B40" s="6">
        <v>0.08</v>
      </c>
      <c r="C40" s="6">
        <v>0.06</v>
      </c>
      <c r="D40" s="6">
        <f>VLOOKUP(A40,'coefs in LR model only'!A:C,3,0)</f>
        <v>0.48149819599999999</v>
      </c>
      <c r="E40" s="6">
        <f>VLOOKUP(A40,'coefs in LR model only'!A:I,9,0)</f>
        <v>2.4776862966855551E-2</v>
      </c>
      <c r="F40" s="6">
        <f>VLOOKUP(A40,'coefs in LR model only'!A:J,10,0)</f>
        <v>0.16359325605186698</v>
      </c>
      <c r="G40" s="8">
        <f>VLOOKUP(A40,'Coefs+OR for both models'!A:H,8,0)</f>
        <v>1.07E-8</v>
      </c>
      <c r="H40" s="8" t="str">
        <f t="shared" si="0"/>
        <v>0.06 (0.02, 0.16)</v>
      </c>
      <c r="I40" s="8"/>
    </row>
    <row r="41" spans="1:9" x14ac:dyDescent="0.2">
      <c r="A41" s="10" t="s">
        <v>20</v>
      </c>
      <c r="B41" s="6">
        <v>1.87</v>
      </c>
      <c r="C41" s="6">
        <v>2.31</v>
      </c>
      <c r="D41" s="6">
        <f>VLOOKUP(A41,'coefs in LR model only'!A:C,3,0)</f>
        <v>0.28626557000000002</v>
      </c>
      <c r="E41" s="6">
        <f>VLOOKUP(A41,'coefs in LR model only'!A:I,9,0)</f>
        <v>1.319200286974509</v>
      </c>
      <c r="F41" s="6">
        <f>VLOOKUP(A41,'coefs in LR model only'!A:J,10,0)</f>
        <v>4.0519033926122283</v>
      </c>
      <c r="G41" s="8">
        <f>VLOOKUP(A41,'Coefs+OR for both models'!A:H,8,0)</f>
        <v>3.4145439999999998E-3</v>
      </c>
      <c r="H41" s="8" t="str">
        <f t="shared" si="0"/>
        <v>2.31 (1.32, 4.05)</v>
      </c>
      <c r="I41" s="8"/>
    </row>
    <row r="42" spans="1:9" x14ac:dyDescent="0.2">
      <c r="A42" s="10" t="s">
        <v>6</v>
      </c>
      <c r="B42" s="6">
        <v>0.11</v>
      </c>
      <c r="C42" s="6">
        <v>0.11</v>
      </c>
      <c r="D42" s="6">
        <f>VLOOKUP(A42,'coefs in LR model only'!A:C,3,0)</f>
        <v>0.38571787299999999</v>
      </c>
      <c r="E42" s="6">
        <f>VLOOKUP(A42,'coefs in LR model only'!A:I,9,0)</f>
        <v>5.1638576249246886E-2</v>
      </c>
      <c r="F42" s="6">
        <f>VLOOKUP(A42,'coefs in LR model only'!A:J,10,0)</f>
        <v>0.23422520265738642</v>
      </c>
      <c r="G42" s="8">
        <f>VLOOKUP(A42,'Coefs+OR for both models'!A:H,8,0)</f>
        <v>1.05E-8</v>
      </c>
      <c r="H42" s="8" t="str">
        <f t="shared" si="0"/>
        <v>0.11 (0.05, 0.23)</v>
      </c>
      <c r="I42" s="8"/>
    </row>
    <row r="43" spans="1:9" x14ac:dyDescent="0.2">
      <c r="A43" s="11" t="s">
        <v>40</v>
      </c>
      <c r="B43" s="7">
        <v>0.76</v>
      </c>
      <c r="C43" s="7">
        <v>0.9</v>
      </c>
      <c r="D43" s="7">
        <f>VLOOKUP(A43,'coefs in LR model only'!A:C,3,0)</f>
        <v>0.29469323400000003</v>
      </c>
      <c r="E43" s="7">
        <f>VLOOKUP(A43,'coefs in LR model only'!A:I,9,0)</f>
        <v>0.5052629401529648</v>
      </c>
      <c r="F43" s="7">
        <f>VLOOKUP(A43,'coefs in LR model only'!A:J,10,0)</f>
        <v>1.6040331328800648</v>
      </c>
      <c r="G43" s="12">
        <f>VLOOKUP(A43,'Coefs+OR for both models'!A:H,8,0)</f>
        <v>0.72141677100000001</v>
      </c>
      <c r="H43" s="12" t="str">
        <f t="shared" si="0"/>
        <v>0.90 (0.51, 1.60)</v>
      </c>
      <c r="I43" s="8"/>
    </row>
    <row r="44" spans="1:9" x14ac:dyDescent="0.2">
      <c r="A44" s="11" t="s">
        <v>55</v>
      </c>
      <c r="B44" s="7">
        <v>0.93</v>
      </c>
      <c r="C44" s="7">
        <v>0.84</v>
      </c>
      <c r="D44" s="7">
        <f>VLOOKUP(A44,'coefs in LR model only'!A:C,3,0)</f>
        <v>0.12878943800000001</v>
      </c>
      <c r="E44" s="7">
        <f>VLOOKUP(A44,'coefs in LR model only'!A:I,9,0)</f>
        <v>0.65516338711255018</v>
      </c>
      <c r="F44" s="7">
        <f>VLOOKUP(A44,'coefs in LR model only'!A:J,10,0)</f>
        <v>1.0854384084625102</v>
      </c>
      <c r="G44" s="12">
        <f>VLOOKUP(A44,'Coefs+OR for both models'!A:H,8,0)</f>
        <v>0.18569364999999999</v>
      </c>
      <c r="H44" s="12" t="str">
        <f t="shared" si="0"/>
        <v>0.84 (0.66, 1.09)</v>
      </c>
      <c r="I44" s="8"/>
    </row>
    <row r="45" spans="1:9" x14ac:dyDescent="0.2">
      <c r="A45" s="11" t="s">
        <v>54</v>
      </c>
      <c r="B45" s="7">
        <v>0.93</v>
      </c>
      <c r="C45" s="7">
        <v>1.01</v>
      </c>
      <c r="D45" s="7">
        <f>VLOOKUP(A45,'coefs in LR model only'!A:C,3,0)</f>
        <v>0.16837828899999999</v>
      </c>
      <c r="E45" s="7">
        <f>VLOOKUP(A45,'coefs in LR model only'!A:I,9,0)</f>
        <v>0.72643309644962306</v>
      </c>
      <c r="F45" s="7">
        <f>VLOOKUP(A45,'coefs in LR model only'!A:J,10,0)</f>
        <v>1.4055574735817564</v>
      </c>
      <c r="G45" s="12">
        <f>VLOOKUP(A45,'Coefs+OR for both models'!A:H,8,0)</f>
        <v>0.95069004800000001</v>
      </c>
      <c r="H45" s="12" t="str">
        <f t="shared" si="0"/>
        <v>1.01 (0.73, 1.41)</v>
      </c>
      <c r="I45" s="8"/>
    </row>
    <row r="46" spans="1:9" x14ac:dyDescent="0.2">
      <c r="A46" s="11" t="s">
        <v>57</v>
      </c>
      <c r="B46" s="7">
        <v>1.04</v>
      </c>
      <c r="C46" s="7">
        <v>1.08</v>
      </c>
      <c r="D46" s="7">
        <f>VLOOKUP(A46,'coefs in LR model only'!A:C,3,0)</f>
        <v>0.15227032700000001</v>
      </c>
      <c r="E46" s="7">
        <f>VLOOKUP(A46,'coefs in LR model only'!A:I,9,0)</f>
        <v>0.80372120015239812</v>
      </c>
      <c r="F46" s="7">
        <f>VLOOKUP(A46,'coefs in LR model only'!A:J,10,0)</f>
        <v>1.4599422000357944</v>
      </c>
      <c r="G46" s="12">
        <f>VLOOKUP(A46,'Coefs+OR for both models'!A:H,8,0)</f>
        <v>0.59955998600000004</v>
      </c>
      <c r="H46" s="12" t="str">
        <f t="shared" si="0"/>
        <v>1.08 (0.80, 1.46)</v>
      </c>
      <c r="I46" s="8"/>
    </row>
    <row r="47" spans="1:9" x14ac:dyDescent="0.2">
      <c r="A47" s="10" t="s">
        <v>5</v>
      </c>
      <c r="B47" s="6">
        <v>0.1</v>
      </c>
      <c r="C47" s="6">
        <v>0.11</v>
      </c>
      <c r="D47" s="6">
        <f>VLOOKUP(A47,'coefs in LR model only'!A:C,3,0)</f>
        <v>0.20728653399999999</v>
      </c>
      <c r="E47" s="6">
        <f>VLOOKUP(A47,'coefs in LR model only'!A:I,9,0)</f>
        <v>7.2191387591118691E-2</v>
      </c>
      <c r="F47" s="6">
        <f>VLOOKUP(A47,'coefs in LR model only'!A:J,10,0)</f>
        <v>0.16269608750205874</v>
      </c>
      <c r="G47" s="8">
        <f>VLOOKUP(A47,'Coefs+OR for both models'!A:H,8,0)</f>
        <v>8.1800000000000007E-27</v>
      </c>
      <c r="H47" s="8" t="str">
        <f t="shared" si="0"/>
        <v>0.11 (0.07, 0.16)</v>
      </c>
      <c r="I47" s="8"/>
    </row>
    <row r="48" spans="1:9" x14ac:dyDescent="0.2">
      <c r="A48" s="10" t="s">
        <v>9</v>
      </c>
      <c r="B48" s="6">
        <v>3.04</v>
      </c>
      <c r="C48" s="6">
        <v>4.13</v>
      </c>
      <c r="D48" s="6">
        <f>VLOOKUP(A48,'coefs in LR model only'!A:C,3,0)</f>
        <v>0.148994981</v>
      </c>
      <c r="E48" s="6">
        <f>VLOOKUP(A48,'coefs in LR model only'!A:I,9,0)</f>
        <v>3.0842305670364549</v>
      </c>
      <c r="F48" s="6">
        <f>VLOOKUP(A48,'coefs in LR model only'!A:J,10,0)</f>
        <v>5.5309663149157702</v>
      </c>
      <c r="G48" s="8">
        <f>VLOOKUP(A48,'Coefs+OR for both models'!A:H,8,0)</f>
        <v>1.7399999999999999E-21</v>
      </c>
      <c r="H48" s="8" t="str">
        <f t="shared" si="0"/>
        <v>4.13 (3.08, 5.53)</v>
      </c>
      <c r="I48" s="8"/>
    </row>
    <row r="49" spans="1:9" x14ac:dyDescent="0.2">
      <c r="A49" s="10" t="s">
        <v>26</v>
      </c>
      <c r="B49" s="6">
        <v>0.64</v>
      </c>
      <c r="C49" s="6">
        <v>0.57999999999999996</v>
      </c>
      <c r="D49" s="6">
        <f>VLOOKUP(A49,'coefs in LR model only'!A:C,3,0)</f>
        <v>0.142373308</v>
      </c>
      <c r="E49" s="6">
        <f>VLOOKUP(A49,'coefs in LR model only'!A:I,9,0)</f>
        <v>0.43739058159321537</v>
      </c>
      <c r="F49" s="6">
        <f>VLOOKUP(A49,'coefs in LR model only'!A:J,10,0)</f>
        <v>0.7642767353779687</v>
      </c>
      <c r="G49" s="8">
        <f>VLOOKUP(A49,'Coefs+OR for both models'!A:H,8,0)</f>
        <v>1.19002E-4</v>
      </c>
      <c r="H49" s="8" t="str">
        <f t="shared" si="0"/>
        <v>0.58 (0.44, 0.76)</v>
      </c>
      <c r="I49" s="8"/>
    </row>
    <row r="50" spans="1:9" x14ac:dyDescent="0.2">
      <c r="A50" s="11" t="s">
        <v>71</v>
      </c>
      <c r="B50" s="7" t="e">
        <v>#N/A</v>
      </c>
      <c r="C50" s="7">
        <v>0.91</v>
      </c>
      <c r="D50" s="7">
        <f>VLOOKUP(A50,'coefs in LR model only'!A:C,3,0)</f>
        <v>0.152459868</v>
      </c>
      <c r="E50" s="7">
        <f>VLOOKUP(A50,'coefs in LR model only'!A:I,9,0)</f>
        <v>0.67325304781666995</v>
      </c>
      <c r="F50" s="7">
        <f>VLOOKUP(A50,'coefs in LR model only'!A:J,10,0)</f>
        <v>1.2238586094713977</v>
      </c>
      <c r="G50" s="12">
        <f>VLOOKUP(A50,'Coefs+OR for both models'!A:H,8,0)</f>
        <v>0.525425578</v>
      </c>
      <c r="H50" s="12" t="str">
        <f t="shared" si="0"/>
        <v>0.91 (0.67, 1.22)</v>
      </c>
      <c r="I50" s="8"/>
    </row>
    <row r="51" spans="1:9" x14ac:dyDescent="0.2">
      <c r="A51" s="10" t="s">
        <v>11</v>
      </c>
      <c r="B51" s="6">
        <v>2.37</v>
      </c>
      <c r="C51" s="6">
        <v>3.11</v>
      </c>
      <c r="D51" s="6">
        <f>VLOOKUP(A51,'coefs in LR model only'!A:C,3,0)</f>
        <v>0.12788371400000001</v>
      </c>
      <c r="E51" s="6">
        <f>VLOOKUP(A51,'coefs in LR model only'!A:I,9,0)</f>
        <v>2.4221761449722221</v>
      </c>
      <c r="F51" s="6">
        <f>VLOOKUP(A51,'coefs in LR model only'!A:J,10,0)</f>
        <v>3.9987048789930082</v>
      </c>
      <c r="G51" s="8">
        <f>VLOOKUP(A51,'Coefs+OR for both models'!A:H,8,0)</f>
        <v>6.8200000000000001E-19</v>
      </c>
      <c r="H51" s="8" t="str">
        <f t="shared" si="0"/>
        <v>3.11 (2.42, 4.00)</v>
      </c>
      <c r="I51" s="8"/>
    </row>
    <row r="52" spans="1:9" x14ac:dyDescent="0.2">
      <c r="A52" s="11" t="s">
        <v>53</v>
      </c>
      <c r="B52" s="7">
        <v>1.08</v>
      </c>
      <c r="C52" s="7">
        <v>1.04</v>
      </c>
      <c r="D52" s="7">
        <f>VLOOKUP(A52,'coefs in LR model only'!A:C,3,0)</f>
        <v>0.13021893600000001</v>
      </c>
      <c r="E52" s="7">
        <f>VLOOKUP(A52,'coefs in LR model only'!A:I,9,0)</f>
        <v>0.80812893872681568</v>
      </c>
      <c r="F52" s="7">
        <f>VLOOKUP(A52,'coefs in LR model only'!A:J,10,0)</f>
        <v>1.3463868183582106</v>
      </c>
      <c r="G52" s="12">
        <f>VLOOKUP(A52,'Coefs+OR for both models'!A:H,8,0)</f>
        <v>0.74591173200000005</v>
      </c>
      <c r="H52" s="12" t="str">
        <f t="shared" si="0"/>
        <v>1.04 (0.81, 1.35)</v>
      </c>
      <c r="I52" s="8"/>
    </row>
    <row r="53" spans="1:9" x14ac:dyDescent="0.2">
      <c r="A53" s="11" t="s">
        <v>58</v>
      </c>
      <c r="B53" s="7">
        <v>1.03</v>
      </c>
      <c r="C53" s="7">
        <v>0.96</v>
      </c>
      <c r="D53" s="7">
        <f>VLOOKUP(A53,'coefs in LR model only'!A:C,3,0)</f>
        <v>0.129745213</v>
      </c>
      <c r="E53" s="7">
        <f>VLOOKUP(A53,'coefs in LR model only'!A:I,9,0)</f>
        <v>0.74238529990551916</v>
      </c>
      <c r="F53" s="7">
        <f>VLOOKUP(A53,'coefs in LR model only'!A:J,10,0)</f>
        <v>1.2345596360330342</v>
      </c>
      <c r="G53" s="12">
        <f>VLOOKUP(A53,'Coefs+OR for both models'!A:H,8,0)</f>
        <v>0.73691800500000004</v>
      </c>
      <c r="H53" s="12" t="str">
        <f t="shared" si="0"/>
        <v>0.96 (0.74, 1.23)</v>
      </c>
      <c r="I53" s="8"/>
    </row>
    <row r="54" spans="1:9" x14ac:dyDescent="0.2">
      <c r="A54" s="11" t="s">
        <v>45</v>
      </c>
      <c r="B54" s="7">
        <v>1.21</v>
      </c>
      <c r="C54" s="7">
        <v>1.1399999999999999</v>
      </c>
      <c r="D54" s="7">
        <f>VLOOKUP(A54,'coefs in LR model only'!A:C,3,0)</f>
        <v>0.130488242</v>
      </c>
      <c r="E54" s="7">
        <f>VLOOKUP(A54,'coefs in LR model only'!A:I,9,0)</f>
        <v>0.87982051255398763</v>
      </c>
      <c r="F54" s="7">
        <f>VLOOKUP(A54,'coefs in LR model only'!A:J,10,0)</f>
        <v>1.4673771469229966</v>
      </c>
      <c r="G54" s="12">
        <f>VLOOKUP(A54,'Coefs+OR for both models'!A:H,8,0)</f>
        <v>0.327687491</v>
      </c>
      <c r="H54" s="12" t="str">
        <f t="shared" si="0"/>
        <v>1.14 (0.88, 1.47)</v>
      </c>
      <c r="I54" s="8"/>
    </row>
    <row r="55" spans="1:9" x14ac:dyDescent="0.2">
      <c r="A55" s="11" t="s">
        <v>61</v>
      </c>
      <c r="B55" s="7">
        <v>0.99</v>
      </c>
      <c r="C55" s="7">
        <v>0.92</v>
      </c>
      <c r="D55" s="7">
        <f>VLOOKUP(A55,'coefs in LR model only'!A:C,3,0)</f>
        <v>0.13159278099999999</v>
      </c>
      <c r="E55" s="7">
        <f>VLOOKUP(A55,'coefs in LR model only'!A:I,9,0)</f>
        <v>0.71060965472856796</v>
      </c>
      <c r="F55" s="7">
        <f>VLOOKUP(A55,'coefs in LR model only'!A:J,10,0)</f>
        <v>1.190307518634997</v>
      </c>
      <c r="G55" s="12">
        <f>VLOOKUP(A55,'Coefs+OR for both models'!A:H,8,0)</f>
        <v>0.52469148399999999</v>
      </c>
      <c r="H55" s="12" t="str">
        <f t="shared" si="0"/>
        <v>0.92 (0.71, 1.19)</v>
      </c>
      <c r="I55" s="8"/>
    </row>
    <row r="56" spans="1:9" x14ac:dyDescent="0.2">
      <c r="A56" s="10" t="s">
        <v>32</v>
      </c>
      <c r="B56" s="6">
        <v>1.42</v>
      </c>
      <c r="C56" s="6">
        <v>1.37</v>
      </c>
      <c r="D56" s="6">
        <f>VLOOKUP(A56,'coefs in LR model only'!A:C,3,0)</f>
        <v>0.143474883</v>
      </c>
      <c r="E56" s="6">
        <f>VLOOKUP(A56,'coefs in LR model only'!A:I,9,0)</f>
        <v>1.0328725461819344</v>
      </c>
      <c r="F56" s="6">
        <f>VLOOKUP(A56,'coefs in LR model only'!A:J,10,0)</f>
        <v>1.812605552077446</v>
      </c>
      <c r="G56" s="8">
        <f>VLOOKUP(A56,'Coefs+OR for both models'!A:H,8,0)</f>
        <v>2.8857201999999998E-2</v>
      </c>
      <c r="H56" s="8" t="str">
        <f t="shared" si="0"/>
        <v>1.37 (1.03, 1.81)</v>
      </c>
      <c r="I56" s="8"/>
    </row>
    <row r="57" spans="1:9" x14ac:dyDescent="0.2">
      <c r="A57" s="11" t="s">
        <v>46</v>
      </c>
      <c r="B57" s="7">
        <v>0.85</v>
      </c>
      <c r="C57" s="7">
        <v>0.8</v>
      </c>
      <c r="D57" s="7">
        <f>VLOOKUP(A57,'coefs in LR model only'!A:C,3,0)</f>
        <v>0.13853153400000001</v>
      </c>
      <c r="E57" s="7">
        <f>VLOOKUP(A57,'coefs in LR model only'!A:I,9,0)</f>
        <v>0.61350902967673349</v>
      </c>
      <c r="F57" s="7">
        <f>VLOOKUP(A57,'coefs in LR model only'!A:J,10,0)</f>
        <v>1.0559948587243779</v>
      </c>
      <c r="G57" s="12">
        <f>VLOOKUP(A57,'Coefs+OR for both models'!A:H,8,0)</f>
        <v>0.117182914</v>
      </c>
      <c r="H57" s="12" t="str">
        <f t="shared" si="0"/>
        <v>0.80 (0.61, 1.06)</v>
      </c>
      <c r="I57" s="8"/>
    </row>
    <row r="58" spans="1:9" x14ac:dyDescent="0.2">
      <c r="A58" s="10" t="s">
        <v>18</v>
      </c>
      <c r="B58" s="6">
        <v>0.5</v>
      </c>
      <c r="C58" s="6">
        <v>0.42</v>
      </c>
      <c r="D58" s="6">
        <f>VLOOKUP(A58,'coefs in LR model only'!A:C,3,0)</f>
        <v>0.38442490899999998</v>
      </c>
      <c r="E58" s="6">
        <f>VLOOKUP(A58,'coefs in LR model only'!A:I,9,0)</f>
        <v>0.19744741314738729</v>
      </c>
      <c r="F58" s="6">
        <f>VLOOKUP(A58,'coefs in LR model only'!A:J,10,0)</f>
        <v>0.89106549282373515</v>
      </c>
      <c r="G58" s="8">
        <f>VLOOKUP(A58,'Coefs+OR for both models'!A:H,8,0)</f>
        <v>2.3819656000000002E-2</v>
      </c>
      <c r="H58" s="8" t="str">
        <f t="shared" si="0"/>
        <v>0.42 (0.20, 0.89)</v>
      </c>
      <c r="I58" s="8"/>
    </row>
    <row r="59" spans="1:9" x14ac:dyDescent="0.2">
      <c r="A59" s="10" t="s">
        <v>17</v>
      </c>
      <c r="B59" s="6">
        <v>0.5</v>
      </c>
      <c r="C59" s="6">
        <v>0.46</v>
      </c>
      <c r="D59" s="6">
        <f>VLOOKUP(A59,'coefs in LR model only'!A:C,3,0)</f>
        <v>0.13804994300000001</v>
      </c>
      <c r="E59" s="6">
        <f>VLOOKUP(A59,'coefs in LR model only'!A:I,9,0)</f>
        <v>0.34733849024939101</v>
      </c>
      <c r="F59" s="6">
        <f>VLOOKUP(A59,'coefs in LR model only'!A:J,10,0)</f>
        <v>0.59672451457099729</v>
      </c>
      <c r="G59" s="8">
        <f>VLOOKUP(A59,'Coefs+OR for both models'!A:H,8,0)</f>
        <v>1.2E-8</v>
      </c>
      <c r="H59" s="8" t="str">
        <f t="shared" si="0"/>
        <v>0.46 (0.35, 0.60)</v>
      </c>
      <c r="I59" s="8"/>
    </row>
    <row r="60" spans="1:9" x14ac:dyDescent="0.2">
      <c r="A60" s="10" t="s">
        <v>60</v>
      </c>
      <c r="B60" s="6">
        <v>0.98</v>
      </c>
      <c r="C60" s="6" t="e">
        <v>#N/A</v>
      </c>
      <c r="D60" s="6" t="e">
        <f>VLOOKUP(A60,'coefs in LR model only'!A:C,3,0)</f>
        <v>#N/A</v>
      </c>
      <c r="E60" s="6" t="e">
        <f>VLOOKUP(A60,'coefs in LR model only'!A:I,9,0)</f>
        <v>#N/A</v>
      </c>
      <c r="F60" s="6" t="e">
        <f>VLOOKUP(A60,'coefs in LR model only'!A:J,10,0)</f>
        <v>#N/A</v>
      </c>
      <c r="G60" s="8" t="e">
        <f>VLOOKUP(A60,'Coefs+OR for both models'!A:H,8,0)</f>
        <v>#N/A</v>
      </c>
      <c r="H60" s="8" t="e">
        <f t="shared" si="0"/>
        <v>#N/A</v>
      </c>
      <c r="I60" s="8"/>
    </row>
    <row r="61" spans="1:9" x14ac:dyDescent="0.2">
      <c r="A61" s="10" t="s">
        <v>37</v>
      </c>
      <c r="B61" s="6">
        <v>1.36</v>
      </c>
      <c r="C61" s="6" t="e">
        <v>#N/A</v>
      </c>
      <c r="D61" s="6" t="e">
        <f>VLOOKUP(A61,'coefs in LR model only'!A:C,3,0)</f>
        <v>#N/A</v>
      </c>
      <c r="E61" s="6" t="e">
        <f>VLOOKUP(A61,'coefs in LR model only'!A:I,9,0)</f>
        <v>#N/A</v>
      </c>
      <c r="F61" s="6" t="e">
        <f>VLOOKUP(A61,'coefs in LR model only'!A:J,10,0)</f>
        <v>#N/A</v>
      </c>
      <c r="G61" s="8" t="e">
        <f>VLOOKUP(A61,'Coefs+OR for both models'!A:H,8,0)</f>
        <v>#N/A</v>
      </c>
      <c r="H61" s="8" t="e">
        <f t="shared" si="0"/>
        <v>#N/A</v>
      </c>
      <c r="I61" s="8"/>
    </row>
    <row r="62" spans="1:9" x14ac:dyDescent="0.2">
      <c r="A62" s="10" t="s">
        <v>36</v>
      </c>
      <c r="B62" s="6">
        <v>1.37</v>
      </c>
      <c r="C62" s="6">
        <v>1.36</v>
      </c>
      <c r="D62" s="6">
        <f>VLOOKUP(A62,'coefs in LR model only'!A:C,3,0)</f>
        <v>2.7324208999999999E-2</v>
      </c>
      <c r="E62" s="6">
        <f>VLOOKUP(A62,'coefs in LR model only'!A:I,9,0)</f>
        <v>1.2850746195629537</v>
      </c>
      <c r="F62" s="6">
        <f>VLOOKUP(A62,'coefs in LR model only'!A:J,10,0)</f>
        <v>1.4303621810141753</v>
      </c>
      <c r="G62" s="8">
        <f>VLOOKUP(A62,'Coefs+OR for both models'!A:H,8,0)</f>
        <v>8.0799999999999996E-29</v>
      </c>
      <c r="H62" s="8" t="str">
        <f t="shared" si="0"/>
        <v>1.36 (1.29, 1.43)</v>
      </c>
      <c r="I62" s="8"/>
    </row>
    <row r="63" spans="1:9" x14ac:dyDescent="0.2">
      <c r="A63" s="10" t="s">
        <v>16</v>
      </c>
      <c r="B63" s="6">
        <v>0.49</v>
      </c>
      <c r="C63" s="6">
        <v>0.48</v>
      </c>
      <c r="D63" s="6">
        <f>VLOOKUP(A63,'coefs in LR model only'!A:C,3,0)</f>
        <v>6.0638086000000001E-2</v>
      </c>
      <c r="E63" s="6">
        <f>VLOOKUP(A63,'coefs in LR model only'!A:I,9,0)</f>
        <v>0.428158533949414</v>
      </c>
      <c r="F63" s="6">
        <f>VLOOKUP(A63,'coefs in LR model only'!A:J,10,0)</f>
        <v>0.54304643424553545</v>
      </c>
      <c r="G63" s="8">
        <f>VLOOKUP(A63,'Coefs+OR for both models'!A:H,8,0)</f>
        <v>2.5000000000000001E-33</v>
      </c>
      <c r="H63" s="8" t="str">
        <f t="shared" si="0"/>
        <v>0.48 (0.43, 0.54)</v>
      </c>
      <c r="I63" s="8"/>
    </row>
    <row r="64" spans="1:9" x14ac:dyDescent="0.2">
      <c r="A64" s="10" t="s">
        <v>56</v>
      </c>
      <c r="B64" s="6">
        <v>0.96</v>
      </c>
      <c r="C64" s="6" t="e">
        <v>#N/A</v>
      </c>
      <c r="D64" s="6" t="e">
        <f>VLOOKUP(A64,'coefs in LR model only'!A:C,3,0)</f>
        <v>#N/A</v>
      </c>
      <c r="E64" s="6" t="e">
        <f>VLOOKUP(A64,'coefs in LR model only'!A:I,9,0)</f>
        <v>#N/A</v>
      </c>
      <c r="F64" s="6" t="e">
        <f>VLOOKUP(A64,'coefs in LR model only'!A:J,10,0)</f>
        <v>#N/A</v>
      </c>
      <c r="G64" s="8" t="e">
        <f>VLOOKUP(A64,'Coefs+OR for both models'!A:H,8,0)</f>
        <v>#N/A</v>
      </c>
      <c r="H64" s="8" t="e">
        <f t="shared" si="0"/>
        <v>#N/A</v>
      </c>
      <c r="I64" s="8"/>
    </row>
    <row r="65" spans="1:9" x14ac:dyDescent="0.2">
      <c r="A65" s="11" t="s">
        <v>72</v>
      </c>
      <c r="B65" s="7" t="e">
        <v>#N/A</v>
      </c>
      <c r="C65" s="7">
        <v>0.94</v>
      </c>
      <c r="D65" s="7">
        <f>VLOOKUP(A65,'coefs in LR model only'!A:C,3,0)</f>
        <v>4.9979412000000001E-2</v>
      </c>
      <c r="E65" s="7">
        <f>VLOOKUP(A65,'coefs in LR model only'!A:I,9,0)</f>
        <v>0.84847964454916258</v>
      </c>
      <c r="F65" s="7">
        <f>VLOOKUP(A65,'coefs in LR model only'!A:J,10,0)</f>
        <v>1.032115016060144</v>
      </c>
      <c r="G65" s="12">
        <f>VLOOKUP(A65,'Coefs+OR for both models'!A:H,8,0)</f>
        <v>0.18433099</v>
      </c>
      <c r="H65" s="12" t="str">
        <f t="shared" si="0"/>
        <v>0.94 (0.85, 1.03)</v>
      </c>
      <c r="I65" s="8"/>
    </row>
    <row r="66" spans="1:9" x14ac:dyDescent="0.2">
      <c r="A66" s="10" t="s">
        <v>29</v>
      </c>
      <c r="B66" s="6">
        <v>0.68</v>
      </c>
      <c r="C66" s="6">
        <v>0.63</v>
      </c>
      <c r="D66" s="6">
        <f>VLOOKUP(A66,'coefs in LR model only'!A:C,3,0)</f>
        <v>3.4574464999999999E-2</v>
      </c>
      <c r="E66" s="6">
        <f>VLOOKUP(A66,'coefs in LR model only'!A:I,9,0)</f>
        <v>0.58952903925220257</v>
      </c>
      <c r="F66" s="6">
        <f>VLOOKUP(A66,'coefs in LR model only'!A:J,10,0)</f>
        <v>0.67509666118935052</v>
      </c>
      <c r="G66" s="8">
        <f>VLOOKUP(A66,'Coefs+OR for both models'!A:H,8,0)</f>
        <v>1.6799999999999899E-40</v>
      </c>
      <c r="H66" s="8" t="str">
        <f t="shared" si="0"/>
        <v>0.63 (0.59, 0.68)</v>
      </c>
      <c r="I66" s="8"/>
    </row>
    <row r="67" spans="1:9" x14ac:dyDescent="0.2">
      <c r="A67" s="10" t="s">
        <v>33</v>
      </c>
      <c r="B67" s="6">
        <v>0.72</v>
      </c>
      <c r="C67" s="6">
        <v>0.64</v>
      </c>
      <c r="D67" s="6">
        <f>VLOOKUP(A67,'coefs in LR model only'!A:C,3,0)</f>
        <v>3.5941157000000001E-2</v>
      </c>
      <c r="E67" s="6">
        <f>VLOOKUP(A67,'coefs in LR model only'!A:I,9,0)</f>
        <v>0.59467862005676286</v>
      </c>
      <c r="F67" s="6">
        <f>VLOOKUP(A67,'coefs in LR model only'!A:J,10,0)</f>
        <v>0.68465184987469341</v>
      </c>
      <c r="G67" s="8">
        <f>VLOOKUP(A67,'Coefs+OR for both models'!A:H,8,0)</f>
        <v>7.4E-36</v>
      </c>
      <c r="H67" s="8" t="str">
        <f t="shared" ref="H67:H69" si="1">_xlfn.CONCAT(FIXED(C67,2), " (", FIXED(E67,2), ", ", FIXED(F67,2),")")</f>
        <v>0.64 (0.59, 0.68)</v>
      </c>
      <c r="I67" s="8"/>
    </row>
    <row r="68" spans="1:9" x14ac:dyDescent="0.2">
      <c r="A68" s="10" t="s">
        <v>43</v>
      </c>
      <c r="B68" s="6">
        <v>0.82</v>
      </c>
      <c r="C68" s="6" t="e">
        <v>#N/A</v>
      </c>
      <c r="D68" s="6" t="e">
        <f>VLOOKUP(A68,'coefs in LR model only'!A:C,3,0)</f>
        <v>#N/A</v>
      </c>
      <c r="E68" s="6" t="e">
        <f>VLOOKUP(A68,'coefs in LR model only'!A:I,9,0)</f>
        <v>#N/A</v>
      </c>
      <c r="F68" s="6" t="e">
        <f>VLOOKUP(A68,'coefs in LR model only'!A:J,10,0)</f>
        <v>#N/A</v>
      </c>
      <c r="G68" s="8" t="e">
        <f>VLOOKUP(A68,'Coefs+OR for both models'!A:H,8,0)</f>
        <v>#N/A</v>
      </c>
      <c r="H68" s="8" t="e">
        <f t="shared" si="1"/>
        <v>#N/A</v>
      </c>
      <c r="I68" s="8"/>
    </row>
    <row r="69" spans="1:9" x14ac:dyDescent="0.2">
      <c r="A69" s="11" t="s">
        <v>73</v>
      </c>
      <c r="B69" s="12" t="e">
        <v>#N/A</v>
      </c>
      <c r="C69" s="7">
        <v>0.95</v>
      </c>
      <c r="D69" s="7">
        <f>VLOOKUP(A69,'coefs in LR model only'!A:C,3,0)</f>
        <v>5.4146341000000001E-2</v>
      </c>
      <c r="E69" s="7">
        <f>VLOOKUP(A69,'coefs in LR model only'!A:I,9,0)</f>
        <v>0.85578733907987148</v>
      </c>
      <c r="F69" s="7">
        <f>VLOOKUP(A69,'coefs in LR model only'!A:J,10,0)</f>
        <v>1.0581480816135378</v>
      </c>
      <c r="G69" s="12">
        <f>VLOOKUP(A69,'Coefs+OR for both models'!A:H,8,0)</f>
        <v>0.35958463000000002</v>
      </c>
      <c r="H69" s="12" t="str">
        <f t="shared" si="1"/>
        <v>0.95 (0.86, 1.06)</v>
      </c>
      <c r="I69" s="8"/>
    </row>
    <row r="70" spans="1:9" x14ac:dyDescent="0.2">
      <c r="I70" s="18"/>
    </row>
  </sheetData>
  <sortState xmlns:xlrd2="http://schemas.microsoft.com/office/spreadsheetml/2017/richdata2" ref="A2:G69">
    <sortCondition ref="A2:A6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A2379-5CEF-1D4A-86CB-60C588A2D530}">
  <dimension ref="A1:E47"/>
  <sheetViews>
    <sheetView topLeftCell="A14" workbookViewId="0">
      <selection activeCell="A48" sqref="A48"/>
    </sheetView>
  </sheetViews>
  <sheetFormatPr baseColWidth="10" defaultRowHeight="16" x14ac:dyDescent="0.2"/>
  <cols>
    <col min="1" max="1" width="56.5" bestFit="1" customWidth="1"/>
    <col min="2" max="2" width="12.83203125" bestFit="1" customWidth="1"/>
    <col min="3" max="3" width="12.33203125" bestFit="1" customWidth="1"/>
    <col min="4" max="4" width="10.5" bestFit="1" customWidth="1"/>
    <col min="5" max="5" width="12.1640625" bestFit="1" customWidth="1"/>
  </cols>
  <sheetData>
    <row r="1" spans="1:5" s="2" customFormat="1" x14ac:dyDescent="0.2">
      <c r="A1" s="2" t="s">
        <v>0</v>
      </c>
      <c r="B1" s="2" t="s">
        <v>85</v>
      </c>
      <c r="C1" s="2" t="s">
        <v>89</v>
      </c>
      <c r="D1" s="2" t="s">
        <v>90</v>
      </c>
      <c r="E1" s="2" t="s">
        <v>91</v>
      </c>
    </row>
    <row r="2" spans="1:5" x14ac:dyDescent="0.2">
      <c r="A2" t="s">
        <v>7</v>
      </c>
      <c r="B2">
        <v>4.57</v>
      </c>
      <c r="C2">
        <v>4.8499999999999996</v>
      </c>
      <c r="D2" s="3">
        <v>3.9410859960297726</v>
      </c>
      <c r="E2" s="3">
        <v>5.9755826586784453</v>
      </c>
    </row>
    <row r="3" spans="1:5" x14ac:dyDescent="0.2">
      <c r="A3" t="s">
        <v>9</v>
      </c>
      <c r="B3">
        <v>3.04</v>
      </c>
      <c r="C3">
        <v>4.13</v>
      </c>
      <c r="D3" s="3">
        <v>3.0842305670364549</v>
      </c>
      <c r="E3" s="3">
        <v>5.5309663149157702</v>
      </c>
    </row>
    <row r="4" spans="1:5" x14ac:dyDescent="0.2">
      <c r="A4" t="s">
        <v>11</v>
      </c>
      <c r="B4">
        <v>2.37</v>
      </c>
      <c r="C4">
        <v>3.11</v>
      </c>
      <c r="D4" s="3">
        <v>2.4221761449722221</v>
      </c>
      <c r="E4" s="3">
        <v>3.9987048789930082</v>
      </c>
    </row>
    <row r="5" spans="1:5" x14ac:dyDescent="0.2">
      <c r="A5" t="s">
        <v>2</v>
      </c>
      <c r="B5">
        <v>7.0000000000000007E-2</v>
      </c>
      <c r="C5">
        <v>0.05</v>
      </c>
      <c r="D5" s="3">
        <v>2.0282988992935833E-2</v>
      </c>
      <c r="E5" s="3">
        <v>0.13418318328750142</v>
      </c>
    </row>
    <row r="6" spans="1:5" x14ac:dyDescent="0.2">
      <c r="A6" t="s">
        <v>3</v>
      </c>
      <c r="B6">
        <v>0.08</v>
      </c>
      <c r="C6">
        <v>0.06</v>
      </c>
      <c r="D6" s="3">
        <v>2.4776862966855551E-2</v>
      </c>
      <c r="E6" s="3">
        <v>0.16359325605186698</v>
      </c>
    </row>
    <row r="7" spans="1:5" x14ac:dyDescent="0.2">
      <c r="A7" t="s">
        <v>4</v>
      </c>
      <c r="B7">
        <v>0.09</v>
      </c>
      <c r="C7">
        <v>0.09</v>
      </c>
      <c r="D7" s="3">
        <v>5.1645952906737201E-2</v>
      </c>
      <c r="E7" s="3">
        <v>0.17016812034638953</v>
      </c>
    </row>
    <row r="8" spans="1:5" x14ac:dyDescent="0.2">
      <c r="A8" t="s">
        <v>5</v>
      </c>
      <c r="B8">
        <v>0.1</v>
      </c>
      <c r="C8">
        <v>0.11</v>
      </c>
      <c r="D8" s="3">
        <v>7.2191387591118691E-2</v>
      </c>
      <c r="E8" s="3">
        <v>0.16269608750205874</v>
      </c>
    </row>
    <row r="9" spans="1:5" x14ac:dyDescent="0.2">
      <c r="A9" t="s">
        <v>6</v>
      </c>
      <c r="B9">
        <v>0.11</v>
      </c>
      <c r="C9">
        <v>0.11</v>
      </c>
      <c r="D9" s="3">
        <v>5.1638576249246886E-2</v>
      </c>
      <c r="E9" s="3">
        <v>0.23422520265738642</v>
      </c>
    </row>
    <row r="10" spans="1:5" x14ac:dyDescent="0.2">
      <c r="A10" t="s">
        <v>20</v>
      </c>
      <c r="B10">
        <v>1.87</v>
      </c>
      <c r="C10">
        <v>2.31</v>
      </c>
      <c r="D10" s="3">
        <v>1.319200286974509</v>
      </c>
      <c r="E10" s="3">
        <v>4.0519033926122283</v>
      </c>
    </row>
    <row r="11" spans="1:5" x14ac:dyDescent="0.2">
      <c r="A11" t="s">
        <v>226</v>
      </c>
      <c r="B11">
        <v>1.76</v>
      </c>
      <c r="C11">
        <v>2.56</v>
      </c>
      <c r="D11" s="3">
        <v>2.2379167622493821</v>
      </c>
      <c r="E11" s="3">
        <v>2.9322741656530353</v>
      </c>
    </row>
    <row r="12" spans="1:5" x14ac:dyDescent="0.2">
      <c r="A12" t="s">
        <v>8</v>
      </c>
      <c r="B12">
        <v>0.28999999999999998</v>
      </c>
      <c r="C12">
        <v>0.26</v>
      </c>
      <c r="D12" s="3">
        <v>0.11683696295456178</v>
      </c>
      <c r="E12" s="3">
        <v>0.56228303829863135</v>
      </c>
    </row>
    <row r="13" spans="1:5" x14ac:dyDescent="0.2">
      <c r="A13" t="s">
        <v>22</v>
      </c>
      <c r="B13">
        <v>1.69</v>
      </c>
      <c r="C13">
        <v>1.73</v>
      </c>
      <c r="D13" s="3">
        <v>1.3814127169054335</v>
      </c>
      <c r="E13" s="3">
        <v>2.1540460957179981</v>
      </c>
    </row>
    <row r="14" spans="1:5" x14ac:dyDescent="0.2">
      <c r="A14" t="s">
        <v>24</v>
      </c>
      <c r="B14">
        <v>1.58</v>
      </c>
      <c r="C14">
        <v>1.98</v>
      </c>
      <c r="D14" s="3">
        <v>1.1097677742845238</v>
      </c>
      <c r="E14" s="3">
        <v>3.5375591614701083</v>
      </c>
    </row>
    <row r="15" spans="1:5" x14ac:dyDescent="0.2">
      <c r="A15" t="s">
        <v>12</v>
      </c>
      <c r="B15">
        <v>0.43</v>
      </c>
      <c r="C15">
        <v>0.3</v>
      </c>
      <c r="D15" s="3">
        <v>0.15317741931566758</v>
      </c>
      <c r="E15" s="3">
        <v>0.57054693908816412</v>
      </c>
    </row>
    <row r="16" spans="1:5" x14ac:dyDescent="0.2">
      <c r="A16" t="s">
        <v>14</v>
      </c>
      <c r="B16">
        <v>0.45</v>
      </c>
      <c r="C16">
        <v>0.46</v>
      </c>
      <c r="D16" s="3">
        <v>0.34012821728436821</v>
      </c>
      <c r="E16" s="3">
        <v>0.62192951462674151</v>
      </c>
    </row>
    <row r="17" spans="1:5" x14ac:dyDescent="0.2">
      <c r="A17" t="s">
        <v>27</v>
      </c>
      <c r="B17">
        <v>1.55</v>
      </c>
      <c r="C17" t="s">
        <v>86</v>
      </c>
      <c r="D17" s="3" t="s">
        <v>86</v>
      </c>
      <c r="E17" s="3" t="s">
        <v>86</v>
      </c>
    </row>
    <row r="18" spans="1:5" x14ac:dyDescent="0.2">
      <c r="A18" t="s">
        <v>15</v>
      </c>
      <c r="B18">
        <v>0.48</v>
      </c>
      <c r="C18">
        <v>0.52</v>
      </c>
      <c r="D18" s="3">
        <v>0.47518208901062542</v>
      </c>
      <c r="E18" s="3">
        <v>0.55944311872251162</v>
      </c>
    </row>
    <row r="19" spans="1:5" x14ac:dyDescent="0.2">
      <c r="A19" t="s">
        <v>16</v>
      </c>
      <c r="B19">
        <v>0.49</v>
      </c>
      <c r="C19">
        <v>0.48</v>
      </c>
      <c r="D19" s="3">
        <v>0.428158533949414</v>
      </c>
      <c r="E19" s="3">
        <v>0.54304643424553545</v>
      </c>
    </row>
    <row r="20" spans="1:5" x14ac:dyDescent="0.2">
      <c r="A20" t="s">
        <v>17</v>
      </c>
      <c r="B20">
        <v>0.5</v>
      </c>
      <c r="C20">
        <v>0.46</v>
      </c>
      <c r="D20" s="3">
        <v>0.34733849024939101</v>
      </c>
      <c r="E20" s="3">
        <v>0.59672451457099729</v>
      </c>
    </row>
    <row r="21" spans="1:5" x14ac:dyDescent="0.2">
      <c r="A21" t="s">
        <v>92</v>
      </c>
      <c r="B21">
        <v>0.5</v>
      </c>
      <c r="C21">
        <v>0.42</v>
      </c>
      <c r="D21" s="3">
        <v>0.19744741314738729</v>
      </c>
      <c r="E21" s="3">
        <v>0.89106549282373515</v>
      </c>
    </row>
    <row r="22" spans="1:5" x14ac:dyDescent="0.2">
      <c r="A22" t="s">
        <v>28</v>
      </c>
      <c r="B22">
        <v>1.48</v>
      </c>
      <c r="C22">
        <v>1.84</v>
      </c>
      <c r="D22" s="3">
        <v>1.0469846783053145</v>
      </c>
      <c r="E22" s="3">
        <v>3.248026003009294</v>
      </c>
    </row>
    <row r="23" spans="1:5" x14ac:dyDescent="0.2">
      <c r="A23" t="s">
        <v>30</v>
      </c>
      <c r="B23">
        <v>1.46</v>
      </c>
      <c r="C23" t="s">
        <v>86</v>
      </c>
      <c r="D23" s="3" t="s">
        <v>86</v>
      </c>
      <c r="E23" s="3" t="s">
        <v>86</v>
      </c>
    </row>
    <row r="24" spans="1:5" x14ac:dyDescent="0.2">
      <c r="A24" t="s">
        <v>227</v>
      </c>
      <c r="B24" t="s">
        <v>86</v>
      </c>
      <c r="C24">
        <v>1.41</v>
      </c>
      <c r="D24" s="3">
        <v>1.2565307728138237</v>
      </c>
      <c r="E24" s="3">
        <v>1.5889766702276402</v>
      </c>
    </row>
    <row r="25" spans="1:5" x14ac:dyDescent="0.2">
      <c r="A25" t="s">
        <v>32</v>
      </c>
      <c r="B25">
        <v>1.42</v>
      </c>
      <c r="C25">
        <v>1.37</v>
      </c>
      <c r="D25" s="3">
        <v>1.0328725461819344</v>
      </c>
      <c r="E25" s="3">
        <v>1.812605552077446</v>
      </c>
    </row>
    <row r="26" spans="1:5" x14ac:dyDescent="0.2">
      <c r="A26" t="s">
        <v>36</v>
      </c>
      <c r="B26">
        <v>1.37</v>
      </c>
      <c r="C26">
        <v>1.36</v>
      </c>
      <c r="D26" s="3">
        <v>1.2850746195629537</v>
      </c>
      <c r="E26" s="3">
        <v>1.4303621810141753</v>
      </c>
    </row>
    <row r="27" spans="1:5" x14ac:dyDescent="0.2">
      <c r="A27" t="s">
        <v>98</v>
      </c>
      <c r="B27">
        <v>1.36</v>
      </c>
      <c r="C27" t="s">
        <v>86</v>
      </c>
      <c r="D27" s="3" t="s">
        <v>86</v>
      </c>
      <c r="E27" s="3" t="s">
        <v>86</v>
      </c>
    </row>
    <row r="28" spans="1:5" x14ac:dyDescent="0.2">
      <c r="A28" t="s">
        <v>26</v>
      </c>
      <c r="B28">
        <v>0.64</v>
      </c>
      <c r="C28">
        <v>0.57999999999999996</v>
      </c>
      <c r="D28" s="3">
        <v>0.43739058159321537</v>
      </c>
      <c r="E28" s="3">
        <v>0.7642767353779687</v>
      </c>
    </row>
    <row r="29" spans="1:5" x14ac:dyDescent="0.2">
      <c r="A29" t="s">
        <v>38</v>
      </c>
      <c r="B29">
        <v>1.33</v>
      </c>
      <c r="C29">
        <v>1.43</v>
      </c>
      <c r="D29" s="3">
        <v>1.3261146157959043</v>
      </c>
      <c r="E29" s="3">
        <v>1.5471949979152932</v>
      </c>
    </row>
    <row r="30" spans="1:5" x14ac:dyDescent="0.2">
      <c r="A30" t="s">
        <v>39</v>
      </c>
      <c r="B30">
        <v>1.33</v>
      </c>
      <c r="C30" t="s">
        <v>86</v>
      </c>
      <c r="D30" s="3" t="s">
        <v>86</v>
      </c>
      <c r="E30" s="3" t="s">
        <v>86</v>
      </c>
    </row>
    <row r="31" spans="1:5" x14ac:dyDescent="0.2">
      <c r="A31" t="s">
        <v>29</v>
      </c>
      <c r="B31">
        <v>0.68</v>
      </c>
      <c r="C31">
        <v>0.63</v>
      </c>
      <c r="D31" s="3">
        <v>0.58952903925220257</v>
      </c>
      <c r="E31" s="3">
        <v>0.67509666118935052</v>
      </c>
    </row>
    <row r="32" spans="1:5" x14ac:dyDescent="0.2">
      <c r="A32" t="s">
        <v>31</v>
      </c>
      <c r="B32">
        <v>0.71</v>
      </c>
      <c r="C32">
        <v>0.65</v>
      </c>
      <c r="D32" s="3">
        <v>0.5084429298815708</v>
      </c>
      <c r="E32" s="3">
        <v>0.82960468737504356</v>
      </c>
    </row>
    <row r="33" spans="1:5" x14ac:dyDescent="0.2">
      <c r="A33" t="s">
        <v>33</v>
      </c>
      <c r="B33">
        <v>0.72</v>
      </c>
      <c r="C33">
        <v>0.64</v>
      </c>
      <c r="D33" s="3">
        <v>0.59467862005676286</v>
      </c>
      <c r="E33" s="3">
        <v>0.68465184987469341</v>
      </c>
    </row>
    <row r="34" spans="1:5" x14ac:dyDescent="0.2">
      <c r="A34" t="s">
        <v>228</v>
      </c>
      <c r="B34">
        <v>0.72</v>
      </c>
      <c r="C34" t="s">
        <v>86</v>
      </c>
      <c r="D34" s="3" t="s">
        <v>86</v>
      </c>
      <c r="E34" s="3" t="s">
        <v>86</v>
      </c>
    </row>
    <row r="35" spans="1:5" x14ac:dyDescent="0.2">
      <c r="A35" t="s">
        <v>229</v>
      </c>
      <c r="B35">
        <v>0.77</v>
      </c>
      <c r="C35">
        <v>0.77</v>
      </c>
      <c r="D35" s="3">
        <v>0.73089594475570352</v>
      </c>
      <c r="E35" s="3">
        <v>0.81696790390485252</v>
      </c>
    </row>
    <row r="36" spans="1:5" x14ac:dyDescent="0.2">
      <c r="A36" t="s">
        <v>230</v>
      </c>
      <c r="B36">
        <v>0.77</v>
      </c>
      <c r="C36" t="s">
        <v>86</v>
      </c>
      <c r="D36" s="3" t="s">
        <v>86</v>
      </c>
      <c r="E36" s="3" t="s">
        <v>86</v>
      </c>
    </row>
    <row r="37" spans="1:5" x14ac:dyDescent="0.2">
      <c r="A37" t="s">
        <v>43</v>
      </c>
      <c r="B37">
        <v>0.82</v>
      </c>
      <c r="C37" t="s">
        <v>86</v>
      </c>
      <c r="D37" s="3" t="s">
        <v>86</v>
      </c>
      <c r="E37" s="3" t="s">
        <v>86</v>
      </c>
    </row>
    <row r="38" spans="1:5" x14ac:dyDescent="0.2">
      <c r="A38" t="s">
        <v>47</v>
      </c>
      <c r="B38">
        <v>1.1599999999999999</v>
      </c>
      <c r="C38" t="s">
        <v>86</v>
      </c>
      <c r="D38" s="3" t="s">
        <v>86</v>
      </c>
      <c r="E38" s="3" t="s">
        <v>86</v>
      </c>
    </row>
    <row r="39" spans="1:5" x14ac:dyDescent="0.2">
      <c r="A39" t="s">
        <v>48</v>
      </c>
      <c r="B39">
        <v>0.86</v>
      </c>
      <c r="C39" t="s">
        <v>86</v>
      </c>
      <c r="D39" s="3" t="s">
        <v>86</v>
      </c>
      <c r="E39" s="3" t="s">
        <v>86</v>
      </c>
    </row>
    <row r="40" spans="1:5" x14ac:dyDescent="0.2">
      <c r="A40" t="s">
        <v>49</v>
      </c>
      <c r="B40">
        <v>1.1200000000000001</v>
      </c>
      <c r="C40" t="s">
        <v>86</v>
      </c>
      <c r="D40" s="3" t="s">
        <v>86</v>
      </c>
      <c r="E40" s="3" t="s">
        <v>86</v>
      </c>
    </row>
    <row r="41" spans="1:5" x14ac:dyDescent="0.2">
      <c r="A41" t="s">
        <v>52</v>
      </c>
      <c r="B41">
        <v>1.0900000000000001</v>
      </c>
      <c r="C41" t="s">
        <v>86</v>
      </c>
      <c r="D41" s="3" t="s">
        <v>86</v>
      </c>
      <c r="E41" s="3" t="s">
        <v>86</v>
      </c>
    </row>
    <row r="42" spans="1:5" x14ac:dyDescent="0.2">
      <c r="A42" t="s">
        <v>56</v>
      </c>
      <c r="B42">
        <v>0.96</v>
      </c>
      <c r="C42" t="s">
        <v>86</v>
      </c>
      <c r="D42" s="3" t="s">
        <v>86</v>
      </c>
      <c r="E42" s="3" t="s">
        <v>86</v>
      </c>
    </row>
    <row r="43" spans="1:5" x14ac:dyDescent="0.2">
      <c r="A43" t="s">
        <v>59</v>
      </c>
      <c r="B43">
        <v>1.03</v>
      </c>
      <c r="C43" t="s">
        <v>86</v>
      </c>
      <c r="D43" s="3" t="s">
        <v>86</v>
      </c>
      <c r="E43" s="3" t="s">
        <v>86</v>
      </c>
    </row>
    <row r="44" spans="1:5" x14ac:dyDescent="0.2">
      <c r="A44" t="s">
        <v>97</v>
      </c>
      <c r="B44">
        <v>0.98</v>
      </c>
      <c r="C44" t="s">
        <v>86</v>
      </c>
      <c r="D44" s="3" t="s">
        <v>86</v>
      </c>
      <c r="E44" s="3" t="s">
        <v>86</v>
      </c>
    </row>
    <row r="45" spans="1:5" x14ac:dyDescent="0.2">
      <c r="A45" t="s">
        <v>62</v>
      </c>
      <c r="B45">
        <v>1</v>
      </c>
      <c r="C45">
        <v>1</v>
      </c>
      <c r="D45" s="3">
        <v>1.001484526379957</v>
      </c>
      <c r="E45" s="3">
        <v>1.0060004937071485</v>
      </c>
    </row>
    <row r="46" spans="1:5" x14ac:dyDescent="0.2">
      <c r="A46" t="s">
        <v>63</v>
      </c>
      <c r="B46">
        <v>1</v>
      </c>
      <c r="C46" t="s">
        <v>86</v>
      </c>
      <c r="D46" s="3" t="s">
        <v>86</v>
      </c>
      <c r="E46" s="3" t="s">
        <v>86</v>
      </c>
    </row>
    <row r="47" spans="1:5" x14ac:dyDescent="0.2">
      <c r="A47" t="s">
        <v>64</v>
      </c>
      <c r="B47">
        <v>1</v>
      </c>
      <c r="C47">
        <v>1</v>
      </c>
      <c r="D47" s="3">
        <v>1.0020878569442944</v>
      </c>
      <c r="E47" s="3">
        <v>1.0026035048478172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2334D-0525-5049-B310-7310C53373FA}">
  <dimension ref="A1:E82"/>
  <sheetViews>
    <sheetView workbookViewId="0">
      <selection activeCell="A77" sqref="A77:C77"/>
    </sheetView>
  </sheetViews>
  <sheetFormatPr baseColWidth="10" defaultRowHeight="16" x14ac:dyDescent="0.2"/>
  <cols>
    <col min="1" max="1" width="50.1640625" style="10" bestFit="1" customWidth="1"/>
    <col min="2" max="2" width="10" style="8" bestFit="1" customWidth="1"/>
    <col min="3" max="3" width="24.5" style="8" bestFit="1" customWidth="1"/>
    <col min="4" max="4" width="12.1640625" bestFit="1" customWidth="1"/>
    <col min="5" max="5" width="73.6640625" bestFit="1" customWidth="1"/>
  </cols>
  <sheetData>
    <row r="1" spans="1:5" x14ac:dyDescent="0.2">
      <c r="A1" s="20" t="s">
        <v>0</v>
      </c>
      <c r="B1" s="21" t="s">
        <v>96</v>
      </c>
      <c r="C1" s="21"/>
    </row>
    <row r="2" spans="1:5" x14ac:dyDescent="0.2">
      <c r="A2" s="20"/>
      <c r="B2" s="4" t="s">
        <v>87</v>
      </c>
      <c r="C2" s="4" t="s">
        <v>102</v>
      </c>
    </row>
    <row r="3" spans="1:5" s="2" customFormat="1" x14ac:dyDescent="0.2">
      <c r="A3" s="10" t="s">
        <v>12</v>
      </c>
      <c r="B3" s="6">
        <v>0.43</v>
      </c>
      <c r="C3" s="8" t="s">
        <v>103</v>
      </c>
    </row>
    <row r="4" spans="1:5" s="2" customFormat="1" x14ac:dyDescent="0.2">
      <c r="A4" s="20" t="s">
        <v>157</v>
      </c>
      <c r="B4" s="20"/>
      <c r="C4" s="20"/>
    </row>
    <row r="5" spans="1:5" x14ac:dyDescent="0.2">
      <c r="A5" s="10" t="s">
        <v>62</v>
      </c>
      <c r="B5" s="6">
        <v>1</v>
      </c>
      <c r="C5" s="8" t="s">
        <v>118</v>
      </c>
    </row>
    <row r="6" spans="1:5" x14ac:dyDescent="0.2">
      <c r="A6" s="10" t="s">
        <v>64</v>
      </c>
      <c r="B6" s="6">
        <v>1</v>
      </c>
      <c r="C6" s="8" t="s">
        <v>119</v>
      </c>
    </row>
    <row r="7" spans="1:5" x14ac:dyDescent="0.2">
      <c r="A7" s="10" t="s">
        <v>56</v>
      </c>
      <c r="B7" s="6">
        <v>0.96</v>
      </c>
      <c r="C7" s="8" t="s">
        <v>86</v>
      </c>
    </row>
    <row r="8" spans="1:5" x14ac:dyDescent="0.2">
      <c r="A8" s="10" t="s">
        <v>31</v>
      </c>
      <c r="B8" s="6">
        <v>0.71</v>
      </c>
      <c r="C8" s="8" t="s">
        <v>106</v>
      </c>
    </row>
    <row r="9" spans="1:5" x14ac:dyDescent="0.2">
      <c r="A9" s="20" t="s">
        <v>156</v>
      </c>
      <c r="B9" s="20"/>
      <c r="C9" s="20"/>
    </row>
    <row r="10" spans="1:5" x14ac:dyDescent="0.2">
      <c r="A10" s="19" t="s">
        <v>165</v>
      </c>
      <c r="B10" s="19"/>
      <c r="C10" s="19"/>
    </row>
    <row r="11" spans="1:5" x14ac:dyDescent="0.2">
      <c r="A11" s="17" t="s">
        <v>159</v>
      </c>
      <c r="B11" s="6">
        <v>1.55</v>
      </c>
      <c r="C11" s="8" t="s">
        <v>86</v>
      </c>
    </row>
    <row r="12" spans="1:5" x14ac:dyDescent="0.2">
      <c r="A12" s="17" t="s">
        <v>164</v>
      </c>
      <c r="B12" s="6">
        <v>1.46</v>
      </c>
      <c r="C12" s="8" t="s">
        <v>86</v>
      </c>
    </row>
    <row r="13" spans="1:5" x14ac:dyDescent="0.2">
      <c r="A13" s="17" t="s">
        <v>161</v>
      </c>
      <c r="B13" s="6">
        <v>1.1599999999999999</v>
      </c>
      <c r="C13" s="8" t="s">
        <v>86</v>
      </c>
    </row>
    <row r="14" spans="1:5" x14ac:dyDescent="0.2">
      <c r="A14" s="17" t="s">
        <v>163</v>
      </c>
      <c r="B14" s="6">
        <v>1.1200000000000001</v>
      </c>
      <c r="C14" s="8" t="s">
        <v>86</v>
      </c>
    </row>
    <row r="15" spans="1:5" x14ac:dyDescent="0.2">
      <c r="A15" s="17" t="s">
        <v>160</v>
      </c>
      <c r="B15" s="6">
        <v>1.03</v>
      </c>
      <c r="C15" s="8" t="s">
        <v>86</v>
      </c>
    </row>
    <row r="16" spans="1:5" x14ac:dyDescent="0.2">
      <c r="A16" s="17" t="s">
        <v>162</v>
      </c>
      <c r="B16" s="6">
        <v>1</v>
      </c>
      <c r="C16" s="8" t="s">
        <v>86</v>
      </c>
      <c r="D16">
        <f>1/0.48</f>
        <v>2.0833333333333335</v>
      </c>
      <c r="E16" t="s">
        <v>99</v>
      </c>
    </row>
    <row r="17" spans="1:5" x14ac:dyDescent="0.2">
      <c r="A17" s="19" t="s">
        <v>166</v>
      </c>
      <c r="B17" s="19"/>
      <c r="C17" s="19"/>
    </row>
    <row r="18" spans="1:5" x14ac:dyDescent="0.2">
      <c r="A18" s="17" t="s">
        <v>177</v>
      </c>
      <c r="B18" s="6">
        <v>1.87</v>
      </c>
      <c r="C18" s="8" t="s">
        <v>131</v>
      </c>
      <c r="E18" s="14" t="s">
        <v>100</v>
      </c>
    </row>
    <row r="19" spans="1:5" x14ac:dyDescent="0.2">
      <c r="A19" s="17" t="s">
        <v>169</v>
      </c>
      <c r="B19" s="6">
        <v>1.58</v>
      </c>
      <c r="C19" s="8" t="s">
        <v>122</v>
      </c>
    </row>
    <row r="20" spans="1:5" x14ac:dyDescent="0.2">
      <c r="A20" s="17" t="s">
        <v>172</v>
      </c>
      <c r="B20" s="6">
        <v>1.48</v>
      </c>
      <c r="C20" s="8" t="s">
        <v>125</v>
      </c>
    </row>
    <row r="21" spans="1:5" x14ac:dyDescent="0.2">
      <c r="A21" s="16" t="s">
        <v>175</v>
      </c>
      <c r="B21" s="7">
        <v>1.38</v>
      </c>
      <c r="C21" s="12" t="s">
        <v>129</v>
      </c>
    </row>
    <row r="22" spans="1:5" x14ac:dyDescent="0.2">
      <c r="A22" s="16" t="s">
        <v>167</v>
      </c>
      <c r="B22" s="7">
        <v>1.21</v>
      </c>
      <c r="C22" s="12" t="s">
        <v>120</v>
      </c>
    </row>
    <row r="23" spans="1:5" x14ac:dyDescent="0.2">
      <c r="A23" s="16" t="s">
        <v>179</v>
      </c>
      <c r="B23" s="7">
        <v>0.76</v>
      </c>
      <c r="C23" s="12" t="s">
        <v>133</v>
      </c>
    </row>
    <row r="24" spans="1:5" x14ac:dyDescent="0.2">
      <c r="A24" s="16" t="s">
        <v>162</v>
      </c>
      <c r="B24" s="7">
        <v>0.64</v>
      </c>
      <c r="C24" s="12" t="s">
        <v>127</v>
      </c>
    </row>
    <row r="25" spans="1:5" x14ac:dyDescent="0.2">
      <c r="A25" s="16" t="s">
        <v>173</v>
      </c>
      <c r="B25" s="7">
        <v>0.61</v>
      </c>
      <c r="C25" s="12" t="s">
        <v>126</v>
      </c>
    </row>
    <row r="26" spans="1:5" x14ac:dyDescent="0.2">
      <c r="A26" s="17" t="s">
        <v>170</v>
      </c>
      <c r="B26" s="6">
        <v>0.28999999999999998</v>
      </c>
      <c r="C26" s="8" t="s">
        <v>123</v>
      </c>
    </row>
    <row r="27" spans="1:5" x14ac:dyDescent="0.2">
      <c r="A27" s="17" t="s">
        <v>178</v>
      </c>
      <c r="B27" s="6">
        <v>0.11</v>
      </c>
      <c r="C27" s="8" t="s">
        <v>132</v>
      </c>
    </row>
    <row r="28" spans="1:5" x14ac:dyDescent="0.2">
      <c r="A28" s="17" t="s">
        <v>174</v>
      </c>
      <c r="B28" s="6">
        <v>0.09</v>
      </c>
      <c r="C28" s="8" t="s">
        <v>128</v>
      </c>
    </row>
    <row r="29" spans="1:5" x14ac:dyDescent="0.2">
      <c r="A29" s="17" t="s">
        <v>176</v>
      </c>
      <c r="B29" s="6">
        <v>0.08</v>
      </c>
      <c r="C29" s="8" t="s">
        <v>130</v>
      </c>
    </row>
    <row r="30" spans="1:5" x14ac:dyDescent="0.2">
      <c r="A30" s="17" t="s">
        <v>171</v>
      </c>
      <c r="B30" s="6">
        <v>7.0000000000000007E-2</v>
      </c>
      <c r="C30" s="8" t="s">
        <v>124</v>
      </c>
    </row>
    <row r="31" spans="1:5" x14ac:dyDescent="0.2">
      <c r="A31" s="16" t="s">
        <v>168</v>
      </c>
      <c r="B31" s="7" t="s">
        <v>86</v>
      </c>
      <c r="C31" s="12" t="s">
        <v>121</v>
      </c>
    </row>
    <row r="32" spans="1:5" x14ac:dyDescent="0.2">
      <c r="A32" s="19" t="s">
        <v>222</v>
      </c>
      <c r="B32" s="19"/>
      <c r="C32" s="19"/>
    </row>
    <row r="33" spans="1:3" x14ac:dyDescent="0.2">
      <c r="A33" s="17" t="s">
        <v>184</v>
      </c>
      <c r="B33" s="6">
        <v>3.04</v>
      </c>
      <c r="C33" s="8" t="s">
        <v>138</v>
      </c>
    </row>
    <row r="34" spans="1:3" x14ac:dyDescent="0.2">
      <c r="A34" s="17" t="s">
        <v>187</v>
      </c>
      <c r="B34" s="6">
        <v>2.37</v>
      </c>
      <c r="C34" s="8" t="s">
        <v>141</v>
      </c>
    </row>
    <row r="35" spans="1:3" x14ac:dyDescent="0.2">
      <c r="A35" s="17" t="s">
        <v>192</v>
      </c>
      <c r="B35" s="6">
        <v>1.42</v>
      </c>
      <c r="C35" s="8" t="s">
        <v>146</v>
      </c>
    </row>
    <row r="36" spans="1:3" x14ac:dyDescent="0.2">
      <c r="A36" s="16" t="s">
        <v>190</v>
      </c>
      <c r="B36" s="7">
        <v>1.21</v>
      </c>
      <c r="C36" s="12" t="s">
        <v>144</v>
      </c>
    </row>
    <row r="37" spans="1:3" x14ac:dyDescent="0.2">
      <c r="A37" s="16" t="s">
        <v>188</v>
      </c>
      <c r="B37" s="7">
        <v>1.08</v>
      </c>
      <c r="C37" s="12" t="s">
        <v>142</v>
      </c>
    </row>
    <row r="38" spans="1:3" x14ac:dyDescent="0.2">
      <c r="A38" s="16" t="s">
        <v>182</v>
      </c>
      <c r="B38" s="7">
        <v>1.04</v>
      </c>
      <c r="C38" s="12" t="s">
        <v>136</v>
      </c>
    </row>
    <row r="39" spans="1:3" x14ac:dyDescent="0.2">
      <c r="A39" s="16" t="s">
        <v>189</v>
      </c>
      <c r="B39" s="7">
        <v>1.03</v>
      </c>
      <c r="C39" s="12" t="s">
        <v>143</v>
      </c>
    </row>
    <row r="40" spans="1:3" x14ac:dyDescent="0.2">
      <c r="A40" s="16" t="s">
        <v>191</v>
      </c>
      <c r="B40" s="7">
        <v>0.99</v>
      </c>
      <c r="C40" s="12" t="s">
        <v>145</v>
      </c>
    </row>
    <row r="41" spans="1:3" x14ac:dyDescent="0.2">
      <c r="A41" s="16" t="s">
        <v>180</v>
      </c>
      <c r="B41" s="7">
        <v>0.93</v>
      </c>
      <c r="C41" s="12" t="s">
        <v>134</v>
      </c>
    </row>
    <row r="42" spans="1:3" x14ac:dyDescent="0.2">
      <c r="A42" s="16" t="s">
        <v>181</v>
      </c>
      <c r="B42" s="7">
        <v>0.93</v>
      </c>
      <c r="C42" s="12" t="s">
        <v>135</v>
      </c>
    </row>
    <row r="43" spans="1:3" x14ac:dyDescent="0.2">
      <c r="A43" s="16" t="s">
        <v>193</v>
      </c>
      <c r="B43" s="7">
        <v>0.85</v>
      </c>
      <c r="C43" s="12" t="s">
        <v>147</v>
      </c>
    </row>
    <row r="44" spans="1:3" x14ac:dyDescent="0.2">
      <c r="A44" s="17" t="s">
        <v>185</v>
      </c>
      <c r="B44" s="6">
        <v>0.64</v>
      </c>
      <c r="C44" s="8" t="s">
        <v>139</v>
      </c>
    </row>
    <row r="45" spans="1:3" x14ac:dyDescent="0.2">
      <c r="A45" s="17" t="s">
        <v>194</v>
      </c>
      <c r="B45" s="6">
        <v>0.5</v>
      </c>
      <c r="C45" s="8" t="s">
        <v>148</v>
      </c>
    </row>
    <row r="46" spans="1:3" x14ac:dyDescent="0.2">
      <c r="A46" s="17" t="s">
        <v>195</v>
      </c>
      <c r="B46" s="6">
        <v>0.5</v>
      </c>
      <c r="C46" s="8" t="s">
        <v>149</v>
      </c>
    </row>
    <row r="47" spans="1:3" x14ac:dyDescent="0.2">
      <c r="A47" s="17" t="s">
        <v>183</v>
      </c>
      <c r="B47" s="6">
        <v>0.1</v>
      </c>
      <c r="C47" s="8" t="s">
        <v>137</v>
      </c>
    </row>
    <row r="48" spans="1:3" x14ac:dyDescent="0.2">
      <c r="A48" s="16" t="s">
        <v>186</v>
      </c>
      <c r="B48" s="7" t="s">
        <v>86</v>
      </c>
      <c r="C48" s="12" t="s">
        <v>140</v>
      </c>
    </row>
    <row r="49" spans="1:3" x14ac:dyDescent="0.2">
      <c r="A49" s="19" t="s">
        <v>223</v>
      </c>
      <c r="B49" s="19"/>
      <c r="C49" s="19"/>
    </row>
    <row r="50" spans="1:3" x14ac:dyDescent="0.2">
      <c r="A50" s="17" t="s">
        <v>196</v>
      </c>
      <c r="B50" s="6">
        <v>1.36</v>
      </c>
      <c r="C50" s="8" t="s">
        <v>86</v>
      </c>
    </row>
    <row r="51" spans="1:3" x14ac:dyDescent="0.2">
      <c r="A51" s="17" t="s">
        <v>197</v>
      </c>
      <c r="B51" s="6">
        <v>0.98</v>
      </c>
      <c r="C51" s="8" t="s">
        <v>86</v>
      </c>
    </row>
    <row r="52" spans="1:3" x14ac:dyDescent="0.2">
      <c r="A52" s="19" t="s">
        <v>198</v>
      </c>
      <c r="B52" s="19"/>
      <c r="C52" s="19"/>
    </row>
    <row r="53" spans="1:3" x14ac:dyDescent="0.2">
      <c r="A53" s="17" t="s">
        <v>161</v>
      </c>
      <c r="B53" s="6">
        <v>1.37</v>
      </c>
      <c r="C53" s="8" t="s">
        <v>150</v>
      </c>
    </row>
    <row r="54" spans="1:3" x14ac:dyDescent="0.2">
      <c r="A54" s="17" t="s">
        <v>199</v>
      </c>
      <c r="B54" s="6">
        <v>0.49</v>
      </c>
      <c r="C54" s="8" t="s">
        <v>151</v>
      </c>
    </row>
    <row r="55" spans="1:3" x14ac:dyDescent="0.2">
      <c r="A55" s="20" t="s">
        <v>158</v>
      </c>
      <c r="B55" s="20"/>
      <c r="C55" s="20"/>
    </row>
    <row r="56" spans="1:3" x14ac:dyDescent="0.2">
      <c r="A56" s="19" t="s">
        <v>213</v>
      </c>
      <c r="B56" s="19"/>
      <c r="C56" s="19"/>
    </row>
    <row r="57" spans="1:3" x14ac:dyDescent="0.2">
      <c r="A57" s="17" t="s">
        <v>202</v>
      </c>
      <c r="B57" s="6">
        <v>1.76</v>
      </c>
      <c r="C57" s="8" t="s">
        <v>105</v>
      </c>
    </row>
    <row r="58" spans="1:3" x14ac:dyDescent="0.2">
      <c r="A58" s="17" t="s">
        <v>201</v>
      </c>
      <c r="B58" s="6">
        <v>0.72</v>
      </c>
      <c r="C58" s="8" t="s">
        <v>86</v>
      </c>
    </row>
    <row r="59" spans="1:3" x14ac:dyDescent="0.2">
      <c r="A59" s="17" t="s">
        <v>200</v>
      </c>
      <c r="B59" s="6" t="s">
        <v>86</v>
      </c>
      <c r="C59" s="8" t="s">
        <v>104</v>
      </c>
    </row>
    <row r="60" spans="1:3" x14ac:dyDescent="0.2">
      <c r="A60" s="19" t="s">
        <v>212</v>
      </c>
      <c r="B60" s="19"/>
      <c r="C60" s="19"/>
    </row>
    <row r="61" spans="1:3" x14ac:dyDescent="0.2">
      <c r="A61" s="17" t="s">
        <v>205</v>
      </c>
      <c r="B61" s="6">
        <v>4.57</v>
      </c>
      <c r="C61" s="8" t="s">
        <v>109</v>
      </c>
    </row>
    <row r="62" spans="1:3" x14ac:dyDescent="0.2">
      <c r="A62" s="16" t="s">
        <v>162</v>
      </c>
      <c r="B62" s="7">
        <v>2.61</v>
      </c>
      <c r="C62" s="12" t="s">
        <v>114</v>
      </c>
    </row>
    <row r="63" spans="1:3" x14ac:dyDescent="0.2">
      <c r="A63" s="16" t="s">
        <v>206</v>
      </c>
      <c r="B63" s="7">
        <v>2.2400000000000002</v>
      </c>
      <c r="C63" s="12" t="s">
        <v>111</v>
      </c>
    </row>
    <row r="64" spans="1:3" x14ac:dyDescent="0.2">
      <c r="A64" s="17" t="s">
        <v>203</v>
      </c>
      <c r="B64" s="6">
        <v>1.69</v>
      </c>
      <c r="C64" s="8" t="s">
        <v>107</v>
      </c>
    </row>
    <row r="65" spans="1:3" x14ac:dyDescent="0.2">
      <c r="A65" s="17" t="s">
        <v>187</v>
      </c>
      <c r="B65" s="6">
        <v>1.33</v>
      </c>
      <c r="C65" s="8" t="s">
        <v>110</v>
      </c>
    </row>
    <row r="66" spans="1:3" x14ac:dyDescent="0.2">
      <c r="A66" s="17" t="s">
        <v>208</v>
      </c>
      <c r="B66" s="6">
        <v>1.33</v>
      </c>
      <c r="C66" s="8" t="s">
        <v>86</v>
      </c>
    </row>
    <row r="67" spans="1:3" x14ac:dyDescent="0.2">
      <c r="A67" s="16" t="s">
        <v>209</v>
      </c>
      <c r="B67" s="7">
        <v>0.91</v>
      </c>
      <c r="C67" s="12" t="s">
        <v>113</v>
      </c>
    </row>
    <row r="68" spans="1:3" x14ac:dyDescent="0.2">
      <c r="A68" s="16" t="s">
        <v>211</v>
      </c>
      <c r="B68" s="7">
        <v>0.89</v>
      </c>
      <c r="C68" s="12" t="s">
        <v>115</v>
      </c>
    </row>
    <row r="69" spans="1:3" x14ac:dyDescent="0.2">
      <c r="A69" s="17" t="s">
        <v>210</v>
      </c>
      <c r="B69" s="6">
        <v>0.86</v>
      </c>
      <c r="C69" s="8" t="s">
        <v>86</v>
      </c>
    </row>
    <row r="70" spans="1:3" x14ac:dyDescent="0.2">
      <c r="A70" s="17" t="s">
        <v>207</v>
      </c>
      <c r="B70" s="6">
        <v>0.48</v>
      </c>
      <c r="C70" s="8" t="s">
        <v>112</v>
      </c>
    </row>
    <row r="71" spans="1:3" x14ac:dyDescent="0.2">
      <c r="A71" s="17" t="s">
        <v>204</v>
      </c>
      <c r="B71" s="6">
        <v>0.45</v>
      </c>
      <c r="C71" s="8" t="s">
        <v>108</v>
      </c>
    </row>
    <row r="72" spans="1:3" x14ac:dyDescent="0.2">
      <c r="A72" s="19" t="s">
        <v>224</v>
      </c>
      <c r="B72" s="19"/>
      <c r="C72" s="19"/>
    </row>
    <row r="73" spans="1:3" x14ac:dyDescent="0.2">
      <c r="A73" s="17" t="s">
        <v>214</v>
      </c>
      <c r="B73" s="6">
        <v>0.77</v>
      </c>
      <c r="C73" s="8" t="s">
        <v>116</v>
      </c>
    </row>
    <row r="74" spans="1:3" x14ac:dyDescent="0.2">
      <c r="A74" s="16" t="s">
        <v>215</v>
      </c>
      <c r="B74" s="7">
        <v>0.51</v>
      </c>
      <c r="C74" s="12" t="s">
        <v>117</v>
      </c>
    </row>
    <row r="75" spans="1:3" x14ac:dyDescent="0.2">
      <c r="A75" s="15" t="s">
        <v>101</v>
      </c>
      <c r="B75" s="6">
        <v>1.0900000000000001</v>
      </c>
      <c r="C75" s="8" t="s">
        <v>86</v>
      </c>
    </row>
    <row r="76" spans="1:3" x14ac:dyDescent="0.2">
      <c r="A76" s="15" t="s">
        <v>221</v>
      </c>
      <c r="B76" s="6">
        <v>0.77</v>
      </c>
      <c r="C76" s="8" t="s">
        <v>86</v>
      </c>
    </row>
    <row r="77" spans="1:3" x14ac:dyDescent="0.2">
      <c r="A77" s="19" t="s">
        <v>225</v>
      </c>
      <c r="B77" s="19"/>
      <c r="C77" s="19"/>
    </row>
    <row r="78" spans="1:3" x14ac:dyDescent="0.2">
      <c r="A78" s="17" t="s">
        <v>219</v>
      </c>
      <c r="B78" s="6">
        <v>0.82</v>
      </c>
      <c r="C78" s="8" t="s">
        <v>86</v>
      </c>
    </row>
    <row r="79" spans="1:3" x14ac:dyDescent="0.2">
      <c r="A79" s="17" t="s">
        <v>218</v>
      </c>
      <c r="B79" s="6">
        <v>0.72</v>
      </c>
      <c r="C79" s="8" t="s">
        <v>154</v>
      </c>
    </row>
    <row r="80" spans="1:3" x14ac:dyDescent="0.2">
      <c r="A80" s="17" t="s">
        <v>217</v>
      </c>
      <c r="B80" s="6">
        <v>0.68</v>
      </c>
      <c r="C80" s="8" t="s">
        <v>153</v>
      </c>
    </row>
    <row r="81" spans="1:3" x14ac:dyDescent="0.2">
      <c r="A81" s="16" t="s">
        <v>216</v>
      </c>
      <c r="B81" s="7" t="s">
        <v>86</v>
      </c>
      <c r="C81" s="12" t="s">
        <v>152</v>
      </c>
    </row>
    <row r="82" spans="1:3" x14ac:dyDescent="0.2">
      <c r="A82" s="16" t="s">
        <v>220</v>
      </c>
      <c r="B82" s="12" t="s">
        <v>86</v>
      </c>
      <c r="C82" s="12" t="s">
        <v>155</v>
      </c>
    </row>
  </sheetData>
  <sortState xmlns:xlrd2="http://schemas.microsoft.com/office/spreadsheetml/2017/richdata2" ref="A78:C80">
    <sortCondition descending="1" ref="B78:B80"/>
  </sortState>
  <mergeCells count="14">
    <mergeCell ref="A60:C60"/>
    <mergeCell ref="A72:C72"/>
    <mergeCell ref="A17:C17"/>
    <mergeCell ref="A77:C77"/>
    <mergeCell ref="A1:A2"/>
    <mergeCell ref="B1:C1"/>
    <mergeCell ref="A4:C4"/>
    <mergeCell ref="A9:C9"/>
    <mergeCell ref="A55:C55"/>
    <mergeCell ref="A10:C10"/>
    <mergeCell ref="A32:C32"/>
    <mergeCell ref="A49:C49"/>
    <mergeCell ref="A52:C52"/>
    <mergeCell ref="A56:C5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Coefs+OR for both models</vt:lpstr>
      <vt:lpstr>coefs in LR model only</vt:lpstr>
      <vt:lpstr>ORs</vt:lpstr>
      <vt:lpstr>OR graph</vt:lpstr>
      <vt:lpstr>OR final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2023-02-16T16:46:00Z</dcterms:created>
  <dcterms:modified xsi:type="dcterms:W3CDTF">2023-09-11T13:56:50Z</dcterms:modified>
</cp:coreProperties>
</file>